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tilities\My_Scripts_Apps\Excel\Assorted_Tools\"/>
    </mc:Choice>
  </mc:AlternateContent>
  <xr:revisionPtr revIDLastSave="0" documentId="13_ncr:1_{673176E5-A17F-420A-8B2E-38B04FF56268}" xr6:coauthVersionLast="47" xr6:coauthVersionMax="47" xr10:uidLastSave="{00000000-0000-0000-0000-000000000000}"/>
  <bookViews>
    <workbookView xWindow="-9705" yWindow="-21720" windowWidth="38640" windowHeight="21120" xr2:uid="{490D31D2-0DBE-44D2-8AFD-866CBCAED24A}"/>
  </bookViews>
  <sheets>
    <sheet name="Binary" sheetId="2" r:id="rId1"/>
    <sheet name="PLC-X Summary" sheetId="5" r:id="rId2"/>
  </sheets>
  <functionGroups builtInGroupCount="19"/>
  <definedNames>
    <definedName name="_xleta.DEC2BIN" hidden="1" xlm="1">#NAME?</definedName>
    <definedName name="_xlpm.chunkSize" hidden="1" xlm="1">#NAME?</definedName>
    <definedName name="_xlpm.commaPos" hidden="1" xlm="1">#NAME?</definedName>
    <definedName name="_xlpm.commaPos1" hidden="1" xlm="1">#NAME?</definedName>
    <definedName name="_xlpm.commaPos2" hidden="1" xlm="1">#NAME?</definedName>
    <definedName name="_xlpm.commaPos3" hidden="1" xlm="1">#NAME?</definedName>
    <definedName name="_xlpm.delim" hidden="1" xlm="1">#NAME?</definedName>
    <definedName name="_xlpm.delimPosList" hidden="1" xlm="1">#NAME?</definedName>
    <definedName name="_xlpm.delimPosList1" hidden="1" xlm="1">#NAME?</definedName>
    <definedName name="_xlpm.delimPosList2" hidden="1" xlm="1">#NAME?</definedName>
    <definedName name="_xlpm.delimPosList3" hidden="1" xlm="1">#NAME?</definedName>
    <definedName name="_xlpm.hasComma" hidden="1" xlm="1">#NAME?</definedName>
    <definedName name="_xlpm.nearest" hidden="1" xlm="1">#NAME?</definedName>
    <definedName name="_xlpm.nearest1" hidden="1" xlm="1">#NAME?</definedName>
    <definedName name="_xlpm.nearest2" hidden="1" xlm="1">#NAME?</definedName>
    <definedName name="_xlpm.nearest3" hidden="1" xlm="1">#NAME?</definedName>
    <definedName name="_xlpm.part1" hidden="1" xlm="1">#NAME?</definedName>
    <definedName name="_xlpm.part2" hidden="1" xlm="1">#NAME?</definedName>
    <definedName name="_xlpm.part3" hidden="1" xlm="1">#NAME?</definedName>
    <definedName name="_xlpm.part4" hidden="1" xlm="1">#NAME?</definedName>
    <definedName name="_xlpm.part5" hidden="1" xlm="1">#NAME?</definedName>
    <definedName name="_xlpm.part6" hidden="1" xlm="1">#NAME?</definedName>
    <definedName name="_xlpm.pos" hidden="1" xlm="1">#NAME?</definedName>
    <definedName name="_xlpm.remainingDelims" hidden="1" xlm="1">#NAME?</definedName>
    <definedName name="_xlpm.result" hidden="1" xlm="1">#NAME?</definedName>
    <definedName name="_xlpm.splitPos" hidden="1" xlm="1">#NAME?</definedName>
    <definedName name="_xlpm.splitPos1" hidden="1" xlm="1">#NAME?</definedName>
    <definedName name="_xlpm.splitPos2" hidden="1" xlm="1">#NAME?</definedName>
    <definedName name="_xlpm.splitPos3" hidden="1" xlm="1">#NAME?</definedName>
    <definedName name="_xlpm.splitter" hidden="1" xlm="1">#NAME?</definedName>
    <definedName name="_xlpm.txt" hidden="1" xlm="1">#NAME?</definedName>
    <definedName name="selPLC" localSheetId="1">'PLC-X Summary'!$C$5</definedName>
    <definedName name="selPL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3" i="2" s="1"/>
  <c r="C4" i="2"/>
  <c r="C3" i="2" s="1"/>
  <c r="D4" i="2"/>
  <c r="D3" i="2" s="1"/>
  <c r="E4" i="2"/>
  <c r="E3" i="2" s="1"/>
  <c r="F4" i="2"/>
  <c r="F3" i="2" s="1"/>
  <c r="G4" i="2"/>
  <c r="G3" i="2" s="1"/>
  <c r="H4" i="2"/>
  <c r="H3" i="2" s="1"/>
  <c r="I4" i="2"/>
  <c r="I3" i="2" s="1"/>
  <c r="J4" i="2"/>
  <c r="J3" i="2" s="1"/>
  <c r="K4" i="2"/>
  <c r="K3" i="2" s="1"/>
  <c r="L4" i="2"/>
  <c r="L3" i="2" s="1"/>
  <c r="M4" i="2"/>
  <c r="M3" i="2" s="1"/>
  <c r="N4" i="2"/>
  <c r="N3" i="2" s="1"/>
  <c r="O4" i="2"/>
  <c r="O3" i="2" s="1"/>
  <c r="P4" i="2"/>
  <c r="P3" i="2" s="1"/>
  <c r="Q4" i="2"/>
  <c r="Q3" i="2" s="1"/>
  <c r="R4" i="2"/>
  <c r="R3" i="2" s="1"/>
  <c r="S4" i="2"/>
  <c r="S3" i="2" s="1"/>
  <c r="T4" i="2"/>
  <c r="T3" i="2" s="1"/>
  <c r="U4" i="2"/>
  <c r="U3" i="2" s="1"/>
  <c r="V4" i="2"/>
  <c r="V3" i="2" s="1"/>
  <c r="W4" i="2"/>
  <c r="W3" i="2" s="1"/>
  <c r="X4" i="2"/>
  <c r="X3" i="2" s="1"/>
  <c r="Y4" i="2"/>
  <c r="Y3" i="2" s="1"/>
  <c r="Z4" i="2"/>
  <c r="Z3" i="2" s="1"/>
  <c r="AA4" i="2"/>
  <c r="AA3" i="2" s="1"/>
  <c r="AB4" i="2"/>
  <c r="AB3" i="2" s="1"/>
  <c r="AC4" i="2"/>
  <c r="AC3" i="2" s="1"/>
  <c r="AD4" i="2"/>
  <c r="AD3" i="2" s="1"/>
  <c r="AE4" i="2"/>
  <c r="AE3" i="2" s="1"/>
  <c r="AF4" i="2"/>
  <c r="AF3" i="2" s="1"/>
  <c r="AG4" i="2"/>
  <c r="AG3" i="2" s="1"/>
  <c r="AH4" i="2"/>
  <c r="AH3" i="2" s="1"/>
  <c r="AI4" i="2"/>
  <c r="AI3" i="2" s="1"/>
  <c r="AJ4" i="2"/>
  <c r="AJ3" i="2" s="1"/>
  <c r="AK4" i="2"/>
  <c r="AK3" i="2" s="1"/>
  <c r="AL4" i="2"/>
  <c r="AL3" i="2" s="1"/>
  <c r="AM4" i="2"/>
  <c r="AM3" i="2" s="1"/>
  <c r="AN4" i="2"/>
  <c r="AN3" i="2" s="1"/>
  <c r="AO4" i="2"/>
  <c r="AO3" i="2" s="1"/>
  <c r="AP4" i="2"/>
  <c r="AP3" i="2" s="1"/>
  <c r="AQ4" i="2"/>
  <c r="AQ3" i="2" s="1"/>
  <c r="AR4" i="2"/>
  <c r="AR3" i="2" s="1"/>
  <c r="AS4" i="2"/>
  <c r="AS3" i="2" s="1"/>
  <c r="AT4" i="2"/>
  <c r="AT3" i="2" s="1"/>
  <c r="AU4" i="2"/>
  <c r="AU3" i="2" s="1"/>
  <c r="AV4" i="2"/>
  <c r="AV3" i="2" s="1"/>
  <c r="AW4" i="2"/>
  <c r="AW3" i="2" s="1"/>
  <c r="AX4" i="2"/>
  <c r="AX3" i="2" s="1"/>
  <c r="AY4" i="2"/>
  <c r="AY3" i="2" s="1"/>
  <c r="AZ4" i="2"/>
  <c r="AZ3" i="2" s="1"/>
  <c r="BA4" i="2"/>
  <c r="BA3" i="2" s="1"/>
  <c r="BB4" i="2"/>
  <c r="BB3" i="2" s="1"/>
  <c r="BC4" i="2"/>
  <c r="BC3" i="2" s="1"/>
  <c r="BD4" i="2"/>
  <c r="BD3" i="2" s="1"/>
  <c r="BE4" i="2"/>
  <c r="BE3" i="2" s="1"/>
  <c r="BF4" i="2"/>
  <c r="BF3" i="2" s="1"/>
  <c r="BG4" i="2"/>
  <c r="BG3" i="2" s="1"/>
  <c r="BH4" i="2"/>
  <c r="BH3" i="2" s="1"/>
  <c r="BI4" i="2"/>
  <c r="BI3" i="2" s="1"/>
  <c r="BJ4" i="2"/>
  <c r="BJ3" i="2" s="1"/>
  <c r="BM4" i="2"/>
  <c r="BM3" i="2" s="1"/>
  <c r="BL4" i="2"/>
  <c r="BL3" i="2" s="1"/>
  <c r="BK4" i="2"/>
  <c r="BK3" i="2" s="1"/>
</calcChain>
</file>

<file path=xl/sharedStrings.xml><?xml version="1.0" encoding="utf-8"?>
<sst xmlns="http://schemas.openxmlformats.org/spreadsheetml/2006/main" count="2008" uniqueCount="456">
  <si>
    <t>Helper</t>
  </si>
  <si>
    <t>Bit Value</t>
  </si>
  <si>
    <t>Bit</t>
  </si>
  <si>
    <t>Binary</t>
  </si>
  <si>
    <t>Base 10</t>
  </si>
  <si>
    <t>Signed?</t>
  </si>
  <si>
    <t>Word Size</t>
  </si>
  <si>
    <t>Big</t>
  </si>
  <si>
    <t>Endianness</t>
  </si>
  <si>
    <t>Last Run Conversion:</t>
  </si>
  <si>
    <t>Binary To Decimal</t>
  </si>
  <si>
    <t>Binary Strings</t>
  </si>
  <si>
    <t>00000000</t>
  </si>
  <si>
    <t>Magnitude</t>
  </si>
  <si>
    <t>00000110</t>
  </si>
  <si>
    <t>00001000</t>
  </si>
  <si>
    <t>00001001</t>
  </si>
  <si>
    <t>0100000100000000</t>
  </si>
  <si>
    <t>0001001010000000</t>
  </si>
  <si>
    <t>0000001100000000</t>
  </si>
  <si>
    <t>0000010000000000</t>
  </si>
  <si>
    <t>0000010100000000</t>
  </si>
  <si>
    <t xml:space="preserve">Remaining items: Parse does not actually </t>
  </si>
  <si>
    <t>resize the ranges (probably due to busy test)</t>
  </si>
  <si>
    <t>N/A</t>
  </si>
  <si>
    <t>PLC-ADMIN</t>
  </si>
  <si>
    <t>Source Sheet</t>
  </si>
  <si>
    <t>SCADA
PLC</t>
  </si>
  <si>
    <t>Site</t>
  </si>
  <si>
    <t>Pkg</t>
  </si>
  <si>
    <t>Location
Code</t>
  </si>
  <si>
    <t>Area</t>
  </si>
  <si>
    <t>Equip.
Code</t>
  </si>
  <si>
    <t>ISA
Code</t>
  </si>
  <si>
    <t>Loop</t>
  </si>
  <si>
    <t>Mod</t>
  </si>
  <si>
    <t>Full Tag</t>
  </si>
  <si>
    <t>Description</t>
  </si>
  <si>
    <t>P&amp;ID
Dwg Ref</t>
  </si>
  <si>
    <t>New / 
Existing</t>
  </si>
  <si>
    <t>PCD Link</t>
  </si>
  <si>
    <t>PLC-BNR</t>
  </si>
  <si>
    <t>Select PLC Below</t>
  </si>
  <si>
    <t>fbDigital</t>
  </si>
  <si>
    <t>PLC-CLAR</t>
  </si>
  <si>
    <t>PL2</t>
  </si>
  <si>
    <t>Pkg 2</t>
  </si>
  <si>
    <t>4211</t>
  </si>
  <si>
    <t>MCC Building 2</t>
  </si>
  <si>
    <t>769</t>
  </si>
  <si>
    <t>ZA</t>
  </si>
  <si>
    <t>0990</t>
  </si>
  <si>
    <t>PL2_4211_769_ZA_0990</t>
  </si>
  <si>
    <t>MCC Building 2 Intrusion</t>
  </si>
  <si>
    <t>406193.B</t>
  </si>
  <si>
    <t>Existing</t>
  </si>
  <si>
    <t>4213</t>
  </si>
  <si>
    <t>Clarifier</t>
  </si>
  <si>
    <t>xxx</t>
  </si>
  <si>
    <t>VLV</t>
  </si>
  <si>
    <t>22111</t>
  </si>
  <si>
    <t>JAL</t>
  </si>
  <si>
    <t>PL2_4213_xxx_VLV_22111_JAL</t>
  </si>
  <si>
    <t>48-Inch Influent Control Valve Power Fail</t>
  </si>
  <si>
    <t>PLC-DIG</t>
  </si>
  <si>
    <t>4218</t>
  </si>
  <si>
    <t>Primary Clar 3</t>
  </si>
  <si>
    <t>023</t>
  </si>
  <si>
    <t>0128</t>
  </si>
  <si>
    <t>YAF</t>
  </si>
  <si>
    <t>PL2_4218_023_VLV_0128_YAF</t>
  </si>
  <si>
    <t>Primary Clarifier No. 3 Scum Pump Discharge Valve Fault</t>
  </si>
  <si>
    <t>CI-5</t>
  </si>
  <si>
    <t>New</t>
  </si>
  <si>
    <t>PCD-4218-0121 - Primary Clarifier No. 3 - Scum Pump.docx</t>
  </si>
  <si>
    <t>PLC-DWPS</t>
  </si>
  <si>
    <t>063</t>
  </si>
  <si>
    <t>HTP</t>
  </si>
  <si>
    <t>0550</t>
  </si>
  <si>
    <t>PL2_4218_063_HTP_0550_YAF</t>
  </si>
  <si>
    <t>Primary Clarifier No. 3 Scum Flushing Line Heat Trace Fault</t>
  </si>
  <si>
    <t>PLC-ELEC</t>
  </si>
  <si>
    <t>222</t>
  </si>
  <si>
    <t>PMP</t>
  </si>
  <si>
    <t>0135</t>
  </si>
  <si>
    <t>PAH</t>
  </si>
  <si>
    <t>PL2_4218_222_PMP_0135_PAH</t>
  </si>
  <si>
    <t>Primary Clarifier No. 3 Sludge Pump No. 1 High Dischg Pres</t>
  </si>
  <si>
    <t>CI-6</t>
  </si>
  <si>
    <t>PCD-4218-0135-0235 - Primary Clarifier No. 3 - Sludge Pumps.docx</t>
  </si>
  <si>
    <t>PLC-HDW</t>
  </si>
  <si>
    <t>PAL</t>
  </si>
  <si>
    <t>PL2_4218_222_PMP_0135_PAL</t>
  </si>
  <si>
    <t>Primary Clarifier No. 3 Sludge Pump No. 1 Low Suction Pres</t>
  </si>
  <si>
    <t>PLC-RAS1</t>
  </si>
  <si>
    <t>TAH</t>
  </si>
  <si>
    <t>PL2_4218_222_PMP_0135_TAH</t>
  </si>
  <si>
    <t>Primary Clarifier No. 3 Sludge Pump No. 1 High Temp</t>
  </si>
  <si>
    <t>PLC-RAS2</t>
  </si>
  <si>
    <t>YAE</t>
  </si>
  <si>
    <t>PL2_4218_222_PMP_0135_YAE</t>
  </si>
  <si>
    <t>Primary Clarifier No. 3 Sludge Pump No. 1 E-Stop Activated</t>
  </si>
  <si>
    <t>PLC-RAS3</t>
  </si>
  <si>
    <t>PL2_4218_222_PMP_0135_YAF</t>
  </si>
  <si>
    <t>Primary Clarifier No. 3 Sludge Pump No. 1 Fault</t>
  </si>
  <si>
    <t>PLC-RDT</t>
  </si>
  <si>
    <t>0235</t>
  </si>
  <si>
    <t>PL2_4218_222_PMP_0235_PAH</t>
  </si>
  <si>
    <t>Primary Clarifier No. 3 Sludge Pump No. 2 High Dischg Pres</t>
  </si>
  <si>
    <t>PLC-SEPT</t>
  </si>
  <si>
    <t>PL2_4218_222_PMP_0235_PAL</t>
  </si>
  <si>
    <t>Primary Clarifier No. 3 Sludge Pump No. 2 Low Suction Pres</t>
  </si>
  <si>
    <t>PLC-SSPS</t>
  </si>
  <si>
    <t>PL2_4218_222_PMP_0235_TAH</t>
  </si>
  <si>
    <t>Primary Clarifier No. 3 Sludge Pump No. 2 High Temp</t>
  </si>
  <si>
    <t>PLC-THICK</t>
  </si>
  <si>
    <t>PL2_4218_222_PMP_0235_YAE</t>
  </si>
  <si>
    <t>Primary Clarifier No. 3 Sludge Pump No. 2 E-Stop Activated</t>
  </si>
  <si>
    <t>PLC-UV</t>
  </si>
  <si>
    <t>PL2_4218_222_PMP_0235_YAF</t>
  </si>
  <si>
    <t>Primary Clarifier No. 3 Sludge Pump No. 2 Fault</t>
  </si>
  <si>
    <t>235</t>
  </si>
  <si>
    <t>0121</t>
  </si>
  <si>
    <t>MAH</t>
  </si>
  <si>
    <t>PL2_4218_235_PMP_0121_MAH</t>
  </si>
  <si>
    <t>Primary Clarifier No. 3 Scum Pump Seal Leak</t>
  </si>
  <si>
    <t>PL2_4218_235_PMP_0121_PAH</t>
  </si>
  <si>
    <t>Primary Clarifier No. 3 Scum Pump High Pressure</t>
  </si>
  <si>
    <t>PL2_4218_235_PMP_0121_TAH</t>
  </si>
  <si>
    <t>Primary Clarifier No. 3 Scum Pump High Temp</t>
  </si>
  <si>
    <t>PL2_4218_235_PMP_0121_YAE</t>
  </si>
  <si>
    <t>Primary Clarifier No. 3 Scum Pump E-Stop Activated</t>
  </si>
  <si>
    <t>PL2_4218_235_PMP_0121_YAF</t>
  </si>
  <si>
    <t>Primary Clarifier No. 3 Scum Pump Fault</t>
  </si>
  <si>
    <t>323</t>
  </si>
  <si>
    <t>BLR</t>
  </si>
  <si>
    <t>0901</t>
  </si>
  <si>
    <t>FAL</t>
  </si>
  <si>
    <t>PL2_4218_323_BLR_0901_FAL</t>
  </si>
  <si>
    <t>Primary Clarifier No. 3 No Air Supply Flow</t>
  </si>
  <si>
    <t>CI-7</t>
  </si>
  <si>
    <t>PCD-4218-0900-0930 - Primary Clarifier No. 3 - HVAC-Gas.docx</t>
  </si>
  <si>
    <t>350</t>
  </si>
  <si>
    <t>DU</t>
  </si>
  <si>
    <t>21802</t>
  </si>
  <si>
    <t>PL2_4218_350_DU_21802_YAF</t>
  </si>
  <si>
    <t>Primary Clarifier No. 3 Fault</t>
  </si>
  <si>
    <t>PCD-4218-21802 - Primary Clarifier No. 3 - Drive.docx</t>
  </si>
  <si>
    <t>Primary Clarifiers</t>
  </si>
  <si>
    <t>429</t>
  </si>
  <si>
    <t>0803</t>
  </si>
  <si>
    <t>PL2_4218_429_JAL_0803</t>
  </si>
  <si>
    <t>PLC-CLAR SCADA Cabinet 24VDC Fail</t>
  </si>
  <si>
    <t>0804</t>
  </si>
  <si>
    <t>PL2_4218_429_JAL_0804</t>
  </si>
  <si>
    <t>PLC-CLAR SCADA Cabinet 120VAC Fail</t>
  </si>
  <si>
    <t>446</t>
  </si>
  <si>
    <t>AIT</t>
  </si>
  <si>
    <t>0001</t>
  </si>
  <si>
    <t>AAH</t>
  </si>
  <si>
    <t>PL2_4218_446_AIT_0001_AAH</t>
  </si>
  <si>
    <t>Primary Clarifier No. 3 High LEL Concentration</t>
  </si>
  <si>
    <t>0002</t>
  </si>
  <si>
    <t>PL2_4218_446_AIT_0002_AAH</t>
  </si>
  <si>
    <t>Primary Clarifier No. 3 High H2S Concentration</t>
  </si>
  <si>
    <t>447</t>
  </si>
  <si>
    <t>LAH</t>
  </si>
  <si>
    <t>0151</t>
  </si>
  <si>
    <t>PL2_4218_447_LAH_0151</t>
  </si>
  <si>
    <t>Primary Clarifier No. 3 Sump High Level</t>
  </si>
  <si>
    <t>Careful With These</t>
  </si>
  <si>
    <t>499</t>
  </si>
  <si>
    <t>0801</t>
  </si>
  <si>
    <t>PL2_4218_499_ZA_0801</t>
  </si>
  <si>
    <t>PLC-CLAR SCADA Cabinet Intrusion</t>
  </si>
  <si>
    <t>724</t>
  </si>
  <si>
    <t>FAN</t>
  </si>
  <si>
    <t>0925</t>
  </si>
  <si>
    <t>PL2_4218_724_FAN_0925_FAL</t>
  </si>
  <si>
    <t>Primary Clarifier No. 3 No Air Exhaust Flow</t>
  </si>
  <si>
    <t>XA</t>
  </si>
  <si>
    <t>PL2_4218_xxx_XA_21802</t>
  </si>
  <si>
    <t>Scum Pump Pit Closed</t>
  </si>
  <si>
    <t>4219</t>
  </si>
  <si>
    <t>Primary Clar 1</t>
  </si>
  <si>
    <t>PL2_4219_023_VLV_0128_YAF</t>
  </si>
  <si>
    <t>Primary Clarifier No. 1 Scum Pump Discharge Valve Fault</t>
  </si>
  <si>
    <t>CI-1</t>
  </si>
  <si>
    <t>PCD-4219-0121 - Primary Clarifier No. 1 - Scum Pump.docx</t>
  </si>
  <si>
    <t>PL2_4219_063_HTP_0550_YAF</t>
  </si>
  <si>
    <t>Primary Clarifier No. 1 Scum Flushing Line Heat Trace Fault</t>
  </si>
  <si>
    <t>PL2_4219_222_PMP_0135_PAH</t>
  </si>
  <si>
    <t>Primary Clarifier No. 1 Sludge Pump No. 1 High Dischg Pres</t>
  </si>
  <si>
    <t>CI-2</t>
  </si>
  <si>
    <t>PCD-4219-0135-0235 - Primary Clarifier No. 1 - Sludge Pumps.docx</t>
  </si>
  <si>
    <t>PL2_4219_222_PMP_0135_PAL</t>
  </si>
  <si>
    <t>Primary Clarifier No. 1 Sludge Pump No. 1 Low Suction Pres</t>
  </si>
  <si>
    <t>PL2_4219_222_PMP_0135_TAH</t>
  </si>
  <si>
    <t>Primary Clarifier No. 1 Sludge Pump No. 1 High Temp</t>
  </si>
  <si>
    <t>PL2_4219_222_PMP_0135_YAE</t>
  </si>
  <si>
    <t>Primary Clarifier No. 1 Sludge Pump No. 1 E-Stop Activated</t>
  </si>
  <si>
    <t>PL2_4219_222_PMP_0135_YAF</t>
  </si>
  <si>
    <t>Primary Clarifier No. 1 Sludge Pump No. 1 Fault</t>
  </si>
  <si>
    <t>PL2_4219_222_PMP_0235_PAH</t>
  </si>
  <si>
    <t>Primary Clarifier No. 1 Sludge Pump No. 2 High Dischg Pres</t>
  </si>
  <si>
    <t>PL2_4219_222_PMP_0235_PAL</t>
  </si>
  <si>
    <t>Primary Clarifier No. 1 Sludge Pump No. 2 Low Suction Pres</t>
  </si>
  <si>
    <t>PL2_4219_222_PMP_0235_TAH</t>
  </si>
  <si>
    <t>Primary Clarifier No. 1 Sludge Pump No. 2 High Temp</t>
  </si>
  <si>
    <t>PL2_4219_222_PMP_0235_YAE</t>
  </si>
  <si>
    <t>Primary Clarifier No. 1 Sludge Pump No. 2 E-Stop Activated</t>
  </si>
  <si>
    <t>PL2_4219_222_PMP_0235_YAF</t>
  </si>
  <si>
    <t>Primary Clarifier No. 1 Sludge Pump No. 2 Fault</t>
  </si>
  <si>
    <t>PL2_4219_235_PMP_0121_MAH</t>
  </si>
  <si>
    <t>Primary Clarifier No. 1 Scum Pump Seal Leak</t>
  </si>
  <si>
    <t>PL2_4219_235_PMP_0121_PAH</t>
  </si>
  <si>
    <t>Primary Clarifier No. 1 Scum Pump High Pressure</t>
  </si>
  <si>
    <t>PL2_4219_235_PMP_0121_TAH</t>
  </si>
  <si>
    <t>Primary Clarifier No. 1 Scum Pump High Temp</t>
  </si>
  <si>
    <t>PL2_4219_235_PMP_0121_YAE</t>
  </si>
  <si>
    <t>Primary Clarifier No. 1 Scum Pump E-Stop Activated</t>
  </si>
  <si>
    <t>PL2_4219_235_PMP_0121_YAF</t>
  </si>
  <si>
    <t>Primary Clarifier No. 1 Scum Pump Fault</t>
  </si>
  <si>
    <t>PL2_4219_323_BLR_0901_FAL</t>
  </si>
  <si>
    <t>Primary Clarifier No. 1 No Air Supply Flow</t>
  </si>
  <si>
    <t>PCD-4219-0900-0930 - Primary Clarifier No. 1 - HVAC-Gas.docx</t>
  </si>
  <si>
    <t>21806</t>
  </si>
  <si>
    <t>PL2_4219_350_DU_21806_YAF</t>
  </si>
  <si>
    <t>Primary Clarifier No. 1 Fault</t>
  </si>
  <si>
    <t>PCD-4219-21806 - Primary Clarifier No. 1 - Drive.docx</t>
  </si>
  <si>
    <t>PL2_4219_446_AIT_0001_AAH</t>
  </si>
  <si>
    <t>Primary Clarifier No. 1 High LEL Concentration</t>
  </si>
  <si>
    <t>PL2_4219_446_AIT_0002_AAH</t>
  </si>
  <si>
    <t>Primary Clarifier No. 1 High H2S Concentration</t>
  </si>
  <si>
    <t>PL2_4219_447_LAH_0151</t>
  </si>
  <si>
    <t>Primary Clarifier No. 1 Sump High Level</t>
  </si>
  <si>
    <t>PL2_4219_724_FAN_0925_FAL</t>
  </si>
  <si>
    <t>Primary Clarifier No. 1 No Air Exhaust Flow</t>
  </si>
  <si>
    <t>4223</t>
  </si>
  <si>
    <t>MCC Building 1</t>
  </si>
  <si>
    <t>739</t>
  </si>
  <si>
    <t>0983</t>
  </si>
  <si>
    <t>PL2_4223_739_XA_0983</t>
  </si>
  <si>
    <t>MCC Building 1/EMH 1 Smoke Alarm</t>
  </si>
  <si>
    <t>0984</t>
  </si>
  <si>
    <t>PL2_4223_739_XA_0984</t>
  </si>
  <si>
    <t>MCC Building 2 Smoke Alarm</t>
  </si>
  <si>
    <t>fbAnalog</t>
  </si>
  <si>
    <t>Influent Value</t>
  </si>
  <si>
    <t>XXX</t>
  </si>
  <si>
    <t>PIT</t>
  </si>
  <si>
    <t>PL2_4213_XXX_PIT_22111</t>
  </si>
  <si>
    <t xml:space="preserve">48”INCH INFLUENT VALVE PRESSURE </t>
  </si>
  <si>
    <t>PCD-4213-22111 - 48-inch Influent Valve.docx</t>
  </si>
  <si>
    <t>LIT</t>
  </si>
  <si>
    <t>0125</t>
  </si>
  <si>
    <t>PL2_4218_447_LIT_0125</t>
  </si>
  <si>
    <t>Primary Clarifier No. 3 Scum Pump Wet Well Level</t>
  </si>
  <si>
    <t>452</t>
  </si>
  <si>
    <t>0146</t>
  </si>
  <si>
    <t>PL2_4218_452_PIT_0146</t>
  </si>
  <si>
    <t>Primary Clarifier No. 3 Scum Pump Discharge Pressure</t>
  </si>
  <si>
    <t>0136</t>
  </si>
  <si>
    <t>PL2_4218_452_PIT_0136</t>
  </si>
  <si>
    <t>Primary Clarifier No. 3 Sludge Pump No. 1 Discharge Pressure</t>
  </si>
  <si>
    <t>0236</t>
  </si>
  <si>
    <t>PL2_4218_452_PIT_0236</t>
  </si>
  <si>
    <t>Primary Clarifier No. 3 Sludge Pump No. 2 Discharge Pressure</t>
  </si>
  <si>
    <t>438</t>
  </si>
  <si>
    <t>FIT</t>
  </si>
  <si>
    <t>0145</t>
  </si>
  <si>
    <t>PL2_4218_438_FIT_0145</t>
  </si>
  <si>
    <t>Primary Clarifier No. 3 Sludge Flow</t>
  </si>
  <si>
    <t>AI</t>
  </si>
  <si>
    <t>PL2_4218_446_AI_0001</t>
  </si>
  <si>
    <t>Primary Clarifier No. 3 LEL Concentration</t>
  </si>
  <si>
    <t>PL2_4218_446_AI_0002</t>
  </si>
  <si>
    <t>Primary Clarifier No. 3 H2S Concentration</t>
  </si>
  <si>
    <t>461</t>
  </si>
  <si>
    <t>TIT</t>
  </si>
  <si>
    <t>0902</t>
  </si>
  <si>
    <t>PL2_4218_461_TIT_0902</t>
  </si>
  <si>
    <t>Primary Clarifier No. 3 Room Temperature</t>
  </si>
  <si>
    <t>TT</t>
  </si>
  <si>
    <t>0802</t>
  </si>
  <si>
    <t>PL2_4218_461_TT_0802</t>
  </si>
  <si>
    <t>PLC-CLAR SCADA Cabinet Temperature</t>
  </si>
  <si>
    <t>PL2_4219_447_LIT_0125</t>
  </si>
  <si>
    <t>Primary Clarifier No. 1 Scum Pump Wet Well Level</t>
  </si>
  <si>
    <t>PL2_4219_452_PIT_0128</t>
  </si>
  <si>
    <t>Primary Clarifier No. 1 Scum Pump Discharge Pressure</t>
  </si>
  <si>
    <t>PL2_4219_452_PIT_0136</t>
  </si>
  <si>
    <t>Primary Clarifier No. 1 Sludge Pump No. 1 Discharge Pressure</t>
  </si>
  <si>
    <t>PL2_4219_452_PIT_0236</t>
  </si>
  <si>
    <t>Primary Clarifier No. 1 Sludge Pump No. 2 Discharge Pressure</t>
  </si>
  <si>
    <t>PL2_4219_438_FIT_0145</t>
  </si>
  <si>
    <t>Primary Clarifier No. 1 Sludge Flow</t>
  </si>
  <si>
    <t>PL2_4219_446_AI_0001</t>
  </si>
  <si>
    <t>Primary Clarifier No. 1 LEL Concentration</t>
  </si>
  <si>
    <t>PL2_4219_446_AI_0002</t>
  </si>
  <si>
    <t>Primary Clarifier No. 1 H2S Concentration</t>
  </si>
  <si>
    <t>PL2_4219_461_TIT_0902</t>
  </si>
  <si>
    <t>Primary Clarifier No. 1 Room Temperature</t>
  </si>
  <si>
    <t>fbMotor</t>
  </si>
  <si>
    <t>4217</t>
  </si>
  <si>
    <t>Primary Clar 2</t>
  </si>
  <si>
    <t>PL2_4217_350_DU_21802</t>
  </si>
  <si>
    <t>Primary Clarifier No. 3</t>
  </si>
  <si>
    <t>PL2_4218_222_PMP_0135</t>
  </si>
  <si>
    <t>Primary Clarifier No. 3 Sludge Pump No. 1</t>
  </si>
  <si>
    <t>PL2_4218_222_PMP_0235</t>
  </si>
  <si>
    <t>Primary Clarifier No. 3 Sludge Pump No. 2</t>
  </si>
  <si>
    <t>PL2_4218_235_PMP_0121</t>
  </si>
  <si>
    <t>Primary Clarifier No. 3 Scum Pump</t>
  </si>
  <si>
    <t>PL2_4218_323_BLR_0901</t>
  </si>
  <si>
    <t>Primary Clarifier No. 3 Air Supply Blower</t>
  </si>
  <si>
    <t>PL2_4218_724_FAN_0925</t>
  </si>
  <si>
    <t>Primary Clarifier No. 3 Air Exhaust Fan</t>
  </si>
  <si>
    <t>PL2_4219_222_PMP_0121</t>
  </si>
  <si>
    <t>Primary Clarifier No. 1 Scum Pump</t>
  </si>
  <si>
    <t>PL2_4219_222_PMP_0135</t>
  </si>
  <si>
    <t>Primary Clarifier No. 1 Sludge Pump No. 1</t>
  </si>
  <si>
    <t>PL2_4219_222_PMP_0235</t>
  </si>
  <si>
    <t>Primary Clarifier No. 1 Sludge Pump No. 2</t>
  </si>
  <si>
    <t>PL2_4219_323_BLR_0901</t>
  </si>
  <si>
    <t>Primary Clarifier No. 1 Air Supply Blower</t>
  </si>
  <si>
    <t>PL2_4219_350_DU_21806</t>
  </si>
  <si>
    <t>Primary Clarifier No. 1</t>
  </si>
  <si>
    <t>PL2_4219_724_FAN_0925</t>
  </si>
  <si>
    <t>Primary Clarifier No. 1 Air Exhaust Fan</t>
  </si>
  <si>
    <t>fbValve</t>
  </si>
  <si>
    <t>PL2_4218_023_VLV_0128</t>
  </si>
  <si>
    <t>Primary Clarifier No. 3 Scum Pump Discharge Valve</t>
  </si>
  <si>
    <t>PL2_4219_023_VLV_0128</t>
  </si>
  <si>
    <t>Primary Clarifier No. 1 Scum Pump Discharge Valve</t>
  </si>
  <si>
    <t>PL2_4213_xxx_VLV_22111</t>
  </si>
  <si>
    <t>48-Inch Influent Control Valve</t>
  </si>
  <si>
    <t>fbPriority</t>
  </si>
  <si>
    <t>PRI</t>
  </si>
  <si>
    <t>PL2_4218_222_PRI_0135</t>
  </si>
  <si>
    <t>Primary Clarifier No. 3 Sludge Pump Priority Table</t>
  </si>
  <si>
    <t>PL2_4219_222_PRI_0135</t>
  </si>
  <si>
    <t>Primary Clarifier No. 1 Sludge Pump Priority Table</t>
  </si>
  <si>
    <t>REAL</t>
  </si>
  <si>
    <t>SI</t>
  </si>
  <si>
    <t>PL2_4218_222_PMP_0135_SI</t>
  </si>
  <si>
    <t>Primary Clarifier No. 3 Sludge Pump No. 1 Speed Feedback</t>
  </si>
  <si>
    <t>PL2_4218_222_PMP_0235_SI</t>
  </si>
  <si>
    <t>Primary Clarifier No. 3 Sludge Pump No. 2 Speed Feedback</t>
  </si>
  <si>
    <t>0x35</t>
  </si>
  <si>
    <t>OnTimer</t>
  </si>
  <si>
    <t>PL2_4218_222_PMP_0x35_OnTimer</t>
  </si>
  <si>
    <t>Primary Clarifier No. 3 Sludge Pumps On Timer</t>
  </si>
  <si>
    <t>OffTimer</t>
  </si>
  <si>
    <t>PL2_4218_222_PMP_0x35_OffTimer</t>
  </si>
  <si>
    <t>Primary Clarifier No. 3 Sludge Pumps Off Timer</t>
  </si>
  <si>
    <t>SC</t>
  </si>
  <si>
    <t>PL2_4218_222_PMP_0135_SC</t>
  </si>
  <si>
    <t>Primary Clarifier No. 3 Sludge Pump No. 1 Speed Command</t>
  </si>
  <si>
    <t>PL2_4218_222_PMP_0235_SC</t>
  </si>
  <si>
    <t>Primary Clarifier No. 3 Sludge Pump No. 2 Speed Command</t>
  </si>
  <si>
    <t>421X</t>
  </si>
  <si>
    <t>Primary Clar</t>
  </si>
  <si>
    <t>PL2_421X_PC_Flow_SP</t>
  </si>
  <si>
    <t>Primary Clarifiers Combined Flow Setpoint</t>
  </si>
  <si>
    <t>PL2_4219_222_PMP_0135_SI</t>
  </si>
  <si>
    <t>Primary Clarifier No. 1 Sludge Pump No. 1 Speed Feedback</t>
  </si>
  <si>
    <t>PL2_4219_222_PMP_0235_SI</t>
  </si>
  <si>
    <t>Primary Clarifier No. 1 Sludge Pump No. 2 Speed Feedback</t>
  </si>
  <si>
    <t>PL2_4219_222_PMP_0x35_OnTimer</t>
  </si>
  <si>
    <t>Primary Clarifier No. 1 Sludge Pumps On Timer</t>
  </si>
  <si>
    <t>PL2_4219_222_PMP_0x35_OffTimer</t>
  </si>
  <si>
    <t>Primary Clarifier No. 1 Sludge Pumps Off Timer</t>
  </si>
  <si>
    <t>PL2_4219_222_PMP_0135_SC</t>
  </si>
  <si>
    <t>Primary Clarifier No. 1 Sludge Pump No. 1 Speed Command</t>
  </si>
  <si>
    <t>PL2_4219_222_PMP_0235_SC</t>
  </si>
  <si>
    <t>Primary Clarifier No. 1 Sludge Pump No. 2 Speed Command</t>
  </si>
  <si>
    <t>ZI</t>
  </si>
  <si>
    <t>PL2_4213_xxx_VLV_22111_ZI</t>
  </si>
  <si>
    <t>48-Inch Influent Control Valve Position Feedback</t>
  </si>
  <si>
    <t>ZC</t>
  </si>
  <si>
    <t>PL2_4213_xxx_VLV_22111_ZC</t>
  </si>
  <si>
    <t>48-Inch Influent Control Valve Position Command</t>
  </si>
  <si>
    <t>BOOL</t>
  </si>
  <si>
    <t>YRI</t>
  </si>
  <si>
    <t>PL2_4218_350_DU_21802_YRI</t>
  </si>
  <si>
    <t>Primary Clarifier No. 3 Drive Running</t>
  </si>
  <si>
    <t>YCI</t>
  </si>
  <si>
    <t>PL2_4218_023_VLV_0128_YCI</t>
  </si>
  <si>
    <t>Primary Clarifier No. 3 Scum Pump Discharge Valve in Remote</t>
  </si>
  <si>
    <t>ZSD</t>
  </si>
  <si>
    <t>PL2_4218_023_VLV_0128_ZSD</t>
  </si>
  <si>
    <t>Primary Clarifier No. 3 Scum Pump Discharge Valve in Discharge</t>
  </si>
  <si>
    <t>ZSR</t>
  </si>
  <si>
    <t>PL2_4218_023_VLV_0128_ZSR</t>
  </si>
  <si>
    <t>Primary Clarifier No. 3 Scum Pump Discharge Valve in Recirc</t>
  </si>
  <si>
    <t>ZSC</t>
  </si>
  <si>
    <t>PL2_4218_023_VLV_0128_ZSC</t>
  </si>
  <si>
    <t>Primary Clarifier No. 3 Scum Pump Discharge Valve Closed Limit</t>
  </si>
  <si>
    <t>PL2_4218_235_PMP_0121_YCI</t>
  </si>
  <si>
    <t>Primary Clarifier No. 3 Scum Pump in Remote</t>
  </si>
  <si>
    <t>PL2_4218_235_PMP_0121_YRI</t>
  </si>
  <si>
    <t>Primary Clarifier No. 3 Scum Pump Running</t>
  </si>
  <si>
    <t>PL2_4218_222_PMP_0135_YCI</t>
  </si>
  <si>
    <t>Primary Clarifier No. 3 Sludge Pump No. 1 in Remote</t>
  </si>
  <si>
    <t>PL2_4218_222_PMP_0135_YRI</t>
  </si>
  <si>
    <t>Primary Clarifier No. 3 Sludge Pump No. 1 Running</t>
  </si>
  <si>
    <t>HSS</t>
  </si>
  <si>
    <t>PL2_4218_222_PMP_0135_HSS</t>
  </si>
  <si>
    <t>Primary Clarifier No. 3 Sludge Pump No. 1 Start/Stop Command</t>
  </si>
  <si>
    <t>PL2_4218_222_PMP_0235_YCI</t>
  </si>
  <si>
    <t>Primary Clarifier No. 3 Sludge Pump No. 2 in Remote</t>
  </si>
  <si>
    <t>PL2_4218_222_PMP_0235_YRI</t>
  </si>
  <si>
    <t>Primary Clarifier No. 3 Sludge Pump No. 2 Running</t>
  </si>
  <si>
    <t>PL2_4218_222_PMP_0235_HSS</t>
  </si>
  <si>
    <t>Primary Clarifier No. 3 Sludge Pump No. 2 Start/Stop Command</t>
  </si>
  <si>
    <t>PL2_4219_350_DU_21806_YRI</t>
  </si>
  <si>
    <t>Primary Clarifier No. 1 Drive Running</t>
  </si>
  <si>
    <t>PL2_4219_023_VLV_0128_YCI</t>
  </si>
  <si>
    <t>Primary Clarifier No. 1 Scum Pump Discharge Valve in Remote</t>
  </si>
  <si>
    <t>PL2_4219_023_VLV_0128_ZSD</t>
  </si>
  <si>
    <t>Primary Clarifier No. 1 Scum Pump Discharge Valve in Discharge</t>
  </si>
  <si>
    <t>PL2_4219_023_VLV_0128_ZSR</t>
  </si>
  <si>
    <t>Primary Clarifier No. 1 Scum Pump Discharge Valve in Recirc</t>
  </si>
  <si>
    <t>PL2_4219_023_VLV_0128_ZSC</t>
  </si>
  <si>
    <t>Primary Clarifier No. 1 Scum Pump Discharge Valve Closed Limit</t>
  </si>
  <si>
    <t>PL2_4219_235_PMP_0121_YCI</t>
  </si>
  <si>
    <t>Primary Clarifier No. 1 Scum Pump in Remote</t>
  </si>
  <si>
    <t>PL2_4219_235_PMP_0121_YRI</t>
  </si>
  <si>
    <t>Primary Clarifier No. 1 Scum Pump Running</t>
  </si>
  <si>
    <t>PL2_4219_222_PMP_0135_YCI</t>
  </si>
  <si>
    <t>Primary Clarifier No. 1 Sludge Pump No. 1 in Remote</t>
  </si>
  <si>
    <t>PL2_4219_222_PMP_0135_YRI</t>
  </si>
  <si>
    <t>Primary Clarifier No. 1 Sludge Pump No. 1 Running</t>
  </si>
  <si>
    <t>PL2_4219_222_PMP_0135_HSS</t>
  </si>
  <si>
    <t>Primary Clarifier No. 1 Sludge Pump No. 1 Start/Stop Command</t>
  </si>
  <si>
    <t>PL2_4219_222_PMP_0235_YCI</t>
  </si>
  <si>
    <t>Primary Clarifier No. 1 Sludge Pump No. 2 in Remote</t>
  </si>
  <si>
    <t>PL2_4219_222_PMP_0235_YRI</t>
  </si>
  <si>
    <t>Primary Clarifier No. 1 Sludge Pump No. 2 Running</t>
  </si>
  <si>
    <t>PL2_4219_222_PMP_0235_HSS</t>
  </si>
  <si>
    <t>Primary Clarifier No. 1 Sludge Pump No. 2 Start/Stop Command</t>
  </si>
  <si>
    <t>PL2_4213_xxx_VLV_22111_YCI</t>
  </si>
  <si>
    <t>48-Inch Influent Control Valve in Remote</t>
  </si>
  <si>
    <t>PID</t>
  </si>
  <si>
    <t>FIC</t>
  </si>
  <si>
    <t>PL2_4218_438_FIC_0145</t>
  </si>
  <si>
    <t>Primary Clarifier No. 3 Sludge Flow PID Controller</t>
  </si>
  <si>
    <t>PL2_4219_438_FIC_0145</t>
  </si>
  <si>
    <t>Primary Clarifier No. 1 Sludge Flow PID Controller</t>
  </si>
  <si>
    <t>PIC</t>
  </si>
  <si>
    <t>PL2_4213_XXX_PIT_22111_PIC</t>
  </si>
  <si>
    <t>48" Influent Valve Position PID Controller</t>
  </si>
  <si>
    <t>PLC-ADMIN </t>
  </si>
  <si>
    <t>Standard Operations</t>
  </si>
  <si>
    <t>Data Cleanup Operations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</si>
</sst>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8E8E"/>
        <bgColor indexed="64"/>
      </patternFill>
    </fill>
    <fill>
      <patternFill patternType="solid">
        <fgColor theme="5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2" borderId="15" xfId="0" applyFont="1" applyFill="1" applyBorder="1"/>
    <xf numFmtId="0" fontId="5" fillId="2" borderId="16" xfId="0" applyFont="1" applyFill="1" applyBorder="1" applyAlignment="1">
      <alignment horizontal="center" vertical="center"/>
    </xf>
    <xf numFmtId="0" fontId="5" fillId="2" borderId="17" xfId="0" applyFont="1" applyFill="1" applyBorder="1"/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/>
    <xf numFmtId="0" fontId="5" fillId="6" borderId="15" xfId="0" applyFont="1" applyFill="1" applyBorder="1"/>
    <xf numFmtId="0" fontId="5" fillId="6" borderId="16" xfId="0" applyFont="1" applyFill="1" applyBorder="1" applyAlignment="1">
      <alignment horizontal="center" vertical="center"/>
    </xf>
    <xf numFmtId="0" fontId="5" fillId="6" borderId="17" xfId="0" applyFont="1" applyFill="1" applyBorder="1"/>
    <xf numFmtId="0" fontId="0" fillId="6" borderId="18" xfId="0" applyFill="1" applyBorder="1"/>
    <xf numFmtId="0" fontId="0" fillId="6" borderId="0" xfId="0" applyFill="1" applyAlignment="1">
      <alignment horizontal="center" vertical="center"/>
    </xf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 applyAlignment="1">
      <alignment horizontal="center" vertical="center"/>
    </xf>
    <xf numFmtId="0" fontId="0" fillId="6" borderId="22" xfId="0" applyFill="1" applyBorder="1"/>
    <xf numFmtId="0" fontId="5" fillId="7" borderId="15" xfId="0" applyFont="1" applyFill="1" applyBorder="1"/>
    <xf numFmtId="0" fontId="5" fillId="7" borderId="16" xfId="0" applyFont="1" applyFill="1" applyBorder="1" applyAlignment="1">
      <alignment horizontal="center" vertical="center"/>
    </xf>
    <xf numFmtId="0" fontId="5" fillId="7" borderId="17" xfId="0" applyFont="1" applyFill="1" applyBorder="1"/>
    <xf numFmtId="0" fontId="0" fillId="7" borderId="18" xfId="0" applyFill="1" applyBorder="1"/>
    <xf numFmtId="0" fontId="0" fillId="7" borderId="0" xfId="0" applyFill="1" applyAlignment="1">
      <alignment horizontal="center" vertical="center"/>
    </xf>
    <xf numFmtId="0" fontId="0" fillId="7" borderId="19" xfId="0" applyFill="1" applyBorder="1"/>
    <xf numFmtId="0" fontId="0" fillId="7" borderId="20" xfId="0" applyFill="1" applyBorder="1"/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/>
    <xf numFmtId="0" fontId="5" fillId="8" borderId="15" xfId="0" applyFont="1" applyFill="1" applyBorder="1"/>
    <xf numFmtId="0" fontId="5" fillId="8" borderId="16" xfId="0" applyFont="1" applyFill="1" applyBorder="1" applyAlignment="1">
      <alignment horizontal="center" vertical="center"/>
    </xf>
    <xf numFmtId="0" fontId="5" fillId="8" borderId="17" xfId="0" applyFont="1" applyFill="1" applyBorder="1"/>
    <xf numFmtId="0" fontId="0" fillId="8" borderId="18" xfId="0" applyFill="1" applyBorder="1"/>
    <xf numFmtId="0" fontId="0" fillId="8" borderId="0" xfId="0" applyFill="1" applyAlignment="1">
      <alignment horizontal="center" vertical="center"/>
    </xf>
    <xf numFmtId="0" fontId="0" fillId="8" borderId="19" xfId="0" applyFill="1" applyBorder="1"/>
    <xf numFmtId="0" fontId="0" fillId="8" borderId="20" xfId="0" applyFill="1" applyBorder="1"/>
    <xf numFmtId="0" fontId="0" fillId="8" borderId="21" xfId="0" applyFill="1" applyBorder="1" applyAlignment="1">
      <alignment horizontal="center" vertical="center"/>
    </xf>
    <xf numFmtId="0" fontId="0" fillId="8" borderId="22" xfId="0" applyFill="1" applyBorder="1"/>
    <xf numFmtId="49" fontId="0" fillId="3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/>
    </xf>
    <xf numFmtId="1" fontId="0" fillId="3" borderId="14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16"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8</xdr:row>
          <xdr:rowOff>66675</xdr:rowOff>
        </xdr:from>
        <xdr:to>
          <xdr:col>7</xdr:col>
          <xdr:colOff>123825</xdr:colOff>
          <xdr:row>9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9</xdr:row>
          <xdr:rowOff>171450</xdr:rowOff>
        </xdr:from>
        <xdr:to>
          <xdr:col>7</xdr:col>
          <xdr:colOff>123825</xdr:colOff>
          <xdr:row>11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Nothing Yet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11</xdr:row>
          <xdr:rowOff>85725</xdr:rowOff>
        </xdr:from>
        <xdr:to>
          <xdr:col>7</xdr:col>
          <xdr:colOff>123825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Nothing Yet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13</xdr:row>
          <xdr:rowOff>0</xdr:rowOff>
        </xdr:from>
        <xdr:to>
          <xdr:col>7</xdr:col>
          <xdr:colOff>133350</xdr:colOff>
          <xdr:row>14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Parse Binary Strings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14</xdr:row>
          <xdr:rowOff>104775</xdr:rowOff>
        </xdr:from>
        <xdr:to>
          <xdr:col>7</xdr:col>
          <xdr:colOff>133350</xdr:colOff>
          <xdr:row>15</xdr:row>
          <xdr:rowOff>142875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Dump To Binary Strings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123825</xdr:rowOff>
        </xdr:from>
        <xdr:to>
          <xdr:col>3</xdr:col>
          <xdr:colOff>342900</xdr:colOff>
          <xdr:row>10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114300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Unfilter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104775</xdr:rowOff>
        </xdr:from>
        <xdr:to>
          <xdr:col>3</xdr:col>
          <xdr:colOff>342900</xdr:colOff>
          <xdr:row>14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PLC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104775</xdr:rowOff>
        </xdr:from>
        <xdr:to>
          <xdr:col>3</xdr:col>
          <xdr:colOff>342900</xdr:colOff>
          <xdr:row>16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Re-Sync PLC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21</xdr:row>
          <xdr:rowOff>76200</xdr:rowOff>
        </xdr:from>
        <xdr:to>
          <xdr:col>3</xdr:col>
          <xdr:colOff>342900</xdr:colOff>
          <xdr:row>24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Blank Lines + Re-Sync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85725</xdr:rowOff>
        </xdr:from>
        <xdr:to>
          <xdr:col>3</xdr:col>
          <xdr:colOff>342900</xdr:colOff>
          <xdr:row>27</xdr:row>
          <xdr:rowOff>19050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Standardize PLC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142875</xdr:rowOff>
        </xdr:from>
        <xdr:to>
          <xdr:col>3</xdr:col>
          <xdr:colOff>342900</xdr:colOff>
          <xdr:row>35</xdr:row>
          <xdr:rowOff>38100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19</xdr:row>
          <xdr:rowOff>104775</xdr:rowOff>
        </xdr:from>
        <xdr:to>
          <xdr:col>3</xdr:col>
          <xdr:colOff>342900</xdr:colOff>
          <xdr:row>21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Health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27</xdr:row>
          <xdr:rowOff>95250</xdr:rowOff>
        </xdr:from>
        <xdr:to>
          <xdr:col>3</xdr:col>
          <xdr:colOff>342900</xdr:colOff>
          <xdr:row>30</xdr:row>
          <xdr:rowOff>28575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Nonstandard Characters + Re-Sync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6AF4CD-8A97-455B-A60D-DDB58BD68F78}" name="tblPLC_Summary" displayName="tblPLC_Summary" ref="H3:V137" totalsRowShown="0" headerRowDxfId="15">
  <autoFilter ref="H3:V137" xr:uid="{DBFE771B-DB0F-4D30-9BF5-A45A226CAC30}"/>
  <tableColumns count="15">
    <tableColumn id="1" xr3:uid="{6B120FB6-312F-444D-A5EB-6821E18749A9}" name="Source Sheet" dataDxfId="14"/>
    <tableColumn id="2" xr3:uid="{97D012E6-FF57-40FE-A063-825A895ADE8E}" name="SCADA_x000a_PLC" dataDxfId="13"/>
    <tableColumn id="3" xr3:uid="{1CF9E6AE-C7ED-4584-B4C0-15FB706F38FF}" name="Site" dataDxfId="12"/>
    <tableColumn id="4" xr3:uid="{5AAB700F-2BD9-4D57-8727-4E9C6A5AE0BA}" name="Pkg" dataDxfId="11"/>
    <tableColumn id="5" xr3:uid="{7D296269-26ED-423F-9518-ABA46BB3CFCF}" name="Location_x000a_Code" dataDxfId="10"/>
    <tableColumn id="6" xr3:uid="{C73F5949-7F06-4EA4-B9DA-CA8B3A43EA00}" name="Area" dataDxfId="9"/>
    <tableColumn id="7" xr3:uid="{F3C64FB0-F881-4D83-B2F5-A61776E5A87E}" name="Equip._x000a_Code" dataDxfId="8"/>
    <tableColumn id="8" xr3:uid="{848FE899-6F98-4DD7-8CBF-1F305950C716}" name="ISA_x000a_Code" dataDxfId="7"/>
    <tableColumn id="9" xr3:uid="{E2E6E20C-E3DD-4EA0-A1A5-3EBBFE01F318}" name="Loop" dataDxfId="6"/>
    <tableColumn id="10" xr3:uid="{60D6583F-0AB1-4618-8646-D70525918D96}" name="Mod" dataDxfId="5"/>
    <tableColumn id="11" xr3:uid="{EC741243-60ED-4EE7-8722-96A526D270CB}" name="Full Tag" dataDxfId="4"/>
    <tableColumn id="12" xr3:uid="{CD754569-CF30-4360-9840-16694DB91FA3}" name="Description" dataDxfId="3"/>
    <tableColumn id="13" xr3:uid="{057DE335-E6D0-4EB3-8E51-943FF23E5C7F}" name="P&amp;ID_x000a_Dwg Ref" dataDxfId="2"/>
    <tableColumn id="14" xr3:uid="{2A790B56-07E2-4E19-9CFC-E0759C30218F}" name="New / _x000a_Existing" dataDxfId="1"/>
    <tableColumn id="15" xr3:uid="{9A6AE674-3405-4D20-ACCE-7CC671D9F270}" name="PCD Link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12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03F21-38E0-4904-83BA-26E7BBD54584}">
  <sheetPr codeName="Binary"/>
  <dimension ref="A3:BP37"/>
  <sheetViews>
    <sheetView tabSelected="1" zoomScaleNormal="100" workbookViewId="0">
      <selection activeCell="BO14" sqref="BO14"/>
    </sheetView>
  </sheetViews>
  <sheetFormatPr defaultRowHeight="15" x14ac:dyDescent="0.25"/>
  <cols>
    <col min="1" max="1" width="9.140625" style="1"/>
    <col min="2" max="65" width="3.42578125" style="1" customWidth="1"/>
    <col min="67" max="67" width="9.5703125" style="1" bestFit="1" customWidth="1"/>
    <col min="68" max="68" width="11.28515625" style="1" bestFit="1" customWidth="1"/>
  </cols>
  <sheetData>
    <row r="3" spans="1:65" x14ac:dyDescent="0.25">
      <c r="A3" s="3" t="s">
        <v>0</v>
      </c>
      <c r="B3" s="4">
        <f t="shared" ref="B3:AG3" si="0">B6*B4</f>
        <v>0</v>
      </c>
      <c r="C3" s="4">
        <f t="shared" si="0"/>
        <v>16384</v>
      </c>
      <c r="D3" s="4">
        <f t="shared" si="0"/>
        <v>0</v>
      </c>
      <c r="E3" s="4">
        <f t="shared" si="0"/>
        <v>0</v>
      </c>
      <c r="F3" s="4">
        <f t="shared" si="0"/>
        <v>0</v>
      </c>
      <c r="G3" s="4">
        <f t="shared" si="0"/>
        <v>0</v>
      </c>
      <c r="H3" s="4">
        <f t="shared" si="0"/>
        <v>0</v>
      </c>
      <c r="I3" s="4">
        <f t="shared" si="0"/>
        <v>256</v>
      </c>
      <c r="J3" s="4">
        <f t="shared" si="0"/>
        <v>0</v>
      </c>
      <c r="K3" s="4">
        <f t="shared" si="0"/>
        <v>0</v>
      </c>
      <c r="L3" s="4">
        <f t="shared" si="0"/>
        <v>0</v>
      </c>
      <c r="M3" s="4">
        <f t="shared" si="0"/>
        <v>0</v>
      </c>
      <c r="N3" s="4">
        <f t="shared" si="0"/>
        <v>0</v>
      </c>
      <c r="O3" s="4">
        <f t="shared" si="0"/>
        <v>0</v>
      </c>
      <c r="P3" s="4">
        <f t="shared" si="0"/>
        <v>0</v>
      </c>
      <c r="Q3" s="4">
        <f t="shared" si="0"/>
        <v>0</v>
      </c>
      <c r="R3" s="4">
        <f t="shared" si="0"/>
        <v>0</v>
      </c>
      <c r="S3" s="4">
        <f t="shared" si="0"/>
        <v>0</v>
      </c>
      <c r="T3" s="4">
        <f t="shared" si="0"/>
        <v>0</v>
      </c>
      <c r="U3" s="4">
        <f t="shared" si="0"/>
        <v>4096</v>
      </c>
      <c r="V3" s="4">
        <f t="shared" si="0"/>
        <v>0</v>
      </c>
      <c r="W3" s="4">
        <f t="shared" si="0"/>
        <v>0</v>
      </c>
      <c r="X3" s="4">
        <f t="shared" si="0"/>
        <v>512</v>
      </c>
      <c r="Y3" s="4">
        <f t="shared" si="0"/>
        <v>0</v>
      </c>
      <c r="Z3" s="4">
        <f t="shared" si="0"/>
        <v>128</v>
      </c>
      <c r="AA3" s="4">
        <f t="shared" si="0"/>
        <v>0</v>
      </c>
      <c r="AB3" s="4">
        <f t="shared" si="0"/>
        <v>0</v>
      </c>
      <c r="AC3" s="4">
        <f t="shared" si="0"/>
        <v>0</v>
      </c>
      <c r="AD3" s="4">
        <f t="shared" si="0"/>
        <v>0</v>
      </c>
      <c r="AE3" s="4">
        <f t="shared" si="0"/>
        <v>0</v>
      </c>
      <c r="AF3" s="4">
        <f t="shared" si="0"/>
        <v>0</v>
      </c>
      <c r="AG3" s="4">
        <f t="shared" si="0"/>
        <v>0</v>
      </c>
      <c r="AH3" s="4">
        <f t="shared" ref="AH3:BM3" si="1">AH6*AH4</f>
        <v>0</v>
      </c>
      <c r="AI3" s="4">
        <f t="shared" si="1"/>
        <v>0</v>
      </c>
      <c r="AJ3" s="4">
        <f t="shared" si="1"/>
        <v>0</v>
      </c>
      <c r="AK3" s="4">
        <f t="shared" si="1"/>
        <v>0</v>
      </c>
      <c r="AL3" s="4">
        <f t="shared" si="1"/>
        <v>0</v>
      </c>
      <c r="AM3" s="4">
        <f t="shared" si="1"/>
        <v>0</v>
      </c>
      <c r="AN3" s="4">
        <f t="shared" si="1"/>
        <v>512</v>
      </c>
      <c r="AO3" s="4">
        <f t="shared" si="1"/>
        <v>256</v>
      </c>
      <c r="AP3" s="4">
        <f t="shared" si="1"/>
        <v>0</v>
      </c>
      <c r="AQ3" s="4">
        <f t="shared" si="1"/>
        <v>0</v>
      </c>
      <c r="AR3" s="4">
        <f t="shared" si="1"/>
        <v>0</v>
      </c>
      <c r="AS3" s="4">
        <f t="shared" si="1"/>
        <v>0</v>
      </c>
      <c r="AT3" s="4">
        <f t="shared" si="1"/>
        <v>0</v>
      </c>
      <c r="AU3" s="4">
        <f t="shared" si="1"/>
        <v>0</v>
      </c>
      <c r="AV3" s="4">
        <f t="shared" si="1"/>
        <v>0</v>
      </c>
      <c r="AW3" s="4">
        <f t="shared" si="1"/>
        <v>0</v>
      </c>
      <c r="AX3" s="4">
        <f t="shared" si="1"/>
        <v>0</v>
      </c>
      <c r="AY3" s="4">
        <f t="shared" si="1"/>
        <v>0</v>
      </c>
      <c r="AZ3" s="4">
        <f t="shared" si="1"/>
        <v>0</v>
      </c>
      <c r="BA3" s="4">
        <f t="shared" si="1"/>
        <v>0</v>
      </c>
      <c r="BB3" s="4">
        <f t="shared" si="1"/>
        <v>0</v>
      </c>
      <c r="BC3" s="4">
        <f t="shared" si="1"/>
        <v>1024</v>
      </c>
      <c r="BD3" s="4">
        <f t="shared" si="1"/>
        <v>0</v>
      </c>
      <c r="BE3" s="4">
        <f t="shared" si="1"/>
        <v>0</v>
      </c>
      <c r="BF3" s="4">
        <f t="shared" si="1"/>
        <v>0</v>
      </c>
      <c r="BG3" s="4">
        <f t="shared" si="1"/>
        <v>0</v>
      </c>
      <c r="BH3" s="4">
        <f t="shared" si="1"/>
        <v>0</v>
      </c>
      <c r="BI3" s="4">
        <f t="shared" si="1"/>
        <v>0</v>
      </c>
      <c r="BJ3" s="4">
        <f t="shared" si="1"/>
        <v>0</v>
      </c>
      <c r="BK3" s="4">
        <f t="shared" si="1"/>
        <v>0</v>
      </c>
      <c r="BL3" s="4">
        <f t="shared" si="1"/>
        <v>0</v>
      </c>
      <c r="BM3" s="4">
        <f t="shared" si="1"/>
        <v>0</v>
      </c>
    </row>
    <row r="4" spans="1:65" x14ac:dyDescent="0.25">
      <c r="A4" s="3" t="s">
        <v>1</v>
      </c>
      <c r="B4" s="4">
        <f t="shared" ref="B4:BJ4" si="2">2^B5</f>
        <v>32768</v>
      </c>
      <c r="C4" s="4">
        <f t="shared" si="2"/>
        <v>16384</v>
      </c>
      <c r="D4" s="4">
        <f t="shared" si="2"/>
        <v>8192</v>
      </c>
      <c r="E4" s="4">
        <f t="shared" si="2"/>
        <v>4096</v>
      </c>
      <c r="F4" s="4">
        <f t="shared" si="2"/>
        <v>2048</v>
      </c>
      <c r="G4" s="4">
        <f t="shared" si="2"/>
        <v>1024</v>
      </c>
      <c r="H4" s="4">
        <f t="shared" si="2"/>
        <v>512</v>
      </c>
      <c r="I4" s="4">
        <f t="shared" si="2"/>
        <v>256</v>
      </c>
      <c r="J4" s="4">
        <f t="shared" si="2"/>
        <v>128</v>
      </c>
      <c r="K4" s="4">
        <f t="shared" si="2"/>
        <v>64</v>
      </c>
      <c r="L4" s="4">
        <f t="shared" si="2"/>
        <v>32</v>
      </c>
      <c r="M4" s="4">
        <f t="shared" si="2"/>
        <v>16</v>
      </c>
      <c r="N4" s="4">
        <f t="shared" si="2"/>
        <v>8</v>
      </c>
      <c r="O4" s="4">
        <f t="shared" si="2"/>
        <v>4</v>
      </c>
      <c r="P4" s="4">
        <f t="shared" si="2"/>
        <v>2</v>
      </c>
      <c r="Q4" s="4">
        <f t="shared" si="2"/>
        <v>1</v>
      </c>
      <c r="R4" s="4">
        <f t="shared" si="2"/>
        <v>32768</v>
      </c>
      <c r="S4" s="4">
        <f t="shared" si="2"/>
        <v>16384</v>
      </c>
      <c r="T4" s="4">
        <f t="shared" si="2"/>
        <v>8192</v>
      </c>
      <c r="U4" s="4">
        <f t="shared" si="2"/>
        <v>4096</v>
      </c>
      <c r="V4" s="4">
        <f t="shared" si="2"/>
        <v>2048</v>
      </c>
      <c r="W4" s="4">
        <f t="shared" si="2"/>
        <v>1024</v>
      </c>
      <c r="X4" s="4">
        <f t="shared" si="2"/>
        <v>512</v>
      </c>
      <c r="Y4" s="4">
        <f t="shared" si="2"/>
        <v>256</v>
      </c>
      <c r="Z4" s="4">
        <f t="shared" si="2"/>
        <v>128</v>
      </c>
      <c r="AA4" s="4">
        <f t="shared" si="2"/>
        <v>64</v>
      </c>
      <c r="AB4" s="4">
        <f t="shared" si="2"/>
        <v>32</v>
      </c>
      <c r="AC4" s="4">
        <f t="shared" si="2"/>
        <v>16</v>
      </c>
      <c r="AD4" s="4">
        <f t="shared" si="2"/>
        <v>8</v>
      </c>
      <c r="AE4" s="4">
        <f t="shared" si="2"/>
        <v>4</v>
      </c>
      <c r="AF4" s="4">
        <f t="shared" si="2"/>
        <v>2</v>
      </c>
      <c r="AG4" s="4">
        <f t="shared" si="2"/>
        <v>1</v>
      </c>
      <c r="AH4" s="4">
        <f t="shared" si="2"/>
        <v>32768</v>
      </c>
      <c r="AI4" s="4">
        <f t="shared" si="2"/>
        <v>16384</v>
      </c>
      <c r="AJ4" s="4">
        <f t="shared" si="2"/>
        <v>8192</v>
      </c>
      <c r="AK4" s="4">
        <f t="shared" si="2"/>
        <v>4096</v>
      </c>
      <c r="AL4" s="4">
        <f t="shared" si="2"/>
        <v>2048</v>
      </c>
      <c r="AM4" s="4">
        <f t="shared" si="2"/>
        <v>1024</v>
      </c>
      <c r="AN4" s="4">
        <f t="shared" si="2"/>
        <v>512</v>
      </c>
      <c r="AO4" s="4">
        <f t="shared" si="2"/>
        <v>256</v>
      </c>
      <c r="AP4" s="4">
        <f t="shared" si="2"/>
        <v>128</v>
      </c>
      <c r="AQ4" s="4">
        <f t="shared" si="2"/>
        <v>64</v>
      </c>
      <c r="AR4" s="4">
        <f t="shared" si="2"/>
        <v>32</v>
      </c>
      <c r="AS4" s="4">
        <f t="shared" si="2"/>
        <v>16</v>
      </c>
      <c r="AT4" s="4">
        <f t="shared" si="2"/>
        <v>8</v>
      </c>
      <c r="AU4" s="4">
        <f t="shared" si="2"/>
        <v>4</v>
      </c>
      <c r="AV4" s="4">
        <f t="shared" si="2"/>
        <v>2</v>
      </c>
      <c r="AW4" s="4">
        <f t="shared" si="2"/>
        <v>1</v>
      </c>
      <c r="AX4" s="4">
        <f t="shared" si="2"/>
        <v>32768</v>
      </c>
      <c r="AY4" s="4">
        <f t="shared" si="2"/>
        <v>16384</v>
      </c>
      <c r="AZ4" s="4">
        <f t="shared" si="2"/>
        <v>8192</v>
      </c>
      <c r="BA4" s="4">
        <f t="shared" si="2"/>
        <v>4096</v>
      </c>
      <c r="BB4" s="4">
        <f t="shared" si="2"/>
        <v>2048</v>
      </c>
      <c r="BC4" s="4">
        <f t="shared" si="2"/>
        <v>1024</v>
      </c>
      <c r="BD4" s="4">
        <f t="shared" si="2"/>
        <v>512</v>
      </c>
      <c r="BE4" s="4">
        <f t="shared" si="2"/>
        <v>256</v>
      </c>
      <c r="BF4" s="4">
        <f t="shared" si="2"/>
        <v>128</v>
      </c>
      <c r="BG4" s="4">
        <f t="shared" si="2"/>
        <v>64</v>
      </c>
      <c r="BH4" s="4">
        <f t="shared" si="2"/>
        <v>32</v>
      </c>
      <c r="BI4" s="4">
        <f t="shared" si="2"/>
        <v>16</v>
      </c>
      <c r="BJ4" s="4">
        <f t="shared" si="2"/>
        <v>8</v>
      </c>
      <c r="BK4" s="4">
        <f t="shared" ref="BK4:BM4" si="3">2^BK5</f>
        <v>4</v>
      </c>
      <c r="BL4" s="4">
        <f t="shared" si="3"/>
        <v>2</v>
      </c>
      <c r="BM4" s="4">
        <f t="shared" si="3"/>
        <v>1</v>
      </c>
    </row>
    <row r="5" spans="1:65" x14ac:dyDescent="0.25">
      <c r="A5" s="3" t="s">
        <v>2</v>
      </c>
      <c r="B5" s="3">
        <v>15</v>
      </c>
      <c r="C5" s="3">
        <v>14</v>
      </c>
      <c r="D5" s="3">
        <v>13</v>
      </c>
      <c r="E5" s="3">
        <v>12</v>
      </c>
      <c r="F5" s="3">
        <v>11</v>
      </c>
      <c r="G5" s="3">
        <v>10</v>
      </c>
      <c r="H5" s="3">
        <v>9</v>
      </c>
      <c r="I5" s="3">
        <v>8</v>
      </c>
      <c r="J5" s="3">
        <v>7</v>
      </c>
      <c r="K5" s="3">
        <v>6</v>
      </c>
      <c r="L5" s="3">
        <v>5</v>
      </c>
      <c r="M5" s="3">
        <v>4</v>
      </c>
      <c r="N5" s="3">
        <v>3</v>
      </c>
      <c r="O5" s="3">
        <v>2</v>
      </c>
      <c r="P5" s="3">
        <v>1</v>
      </c>
      <c r="Q5" s="3">
        <v>0</v>
      </c>
      <c r="R5" s="3">
        <v>15</v>
      </c>
      <c r="S5" s="3">
        <v>14</v>
      </c>
      <c r="T5" s="3">
        <v>13</v>
      </c>
      <c r="U5" s="3">
        <v>12</v>
      </c>
      <c r="V5" s="3">
        <v>11</v>
      </c>
      <c r="W5" s="3">
        <v>10</v>
      </c>
      <c r="X5" s="3">
        <v>9</v>
      </c>
      <c r="Y5" s="3">
        <v>8</v>
      </c>
      <c r="Z5" s="3">
        <v>7</v>
      </c>
      <c r="AA5" s="3">
        <v>6</v>
      </c>
      <c r="AB5" s="3">
        <v>5</v>
      </c>
      <c r="AC5" s="3">
        <v>4</v>
      </c>
      <c r="AD5" s="3">
        <v>3</v>
      </c>
      <c r="AE5" s="3">
        <v>2</v>
      </c>
      <c r="AF5" s="3">
        <v>1</v>
      </c>
      <c r="AG5" s="3">
        <v>0</v>
      </c>
      <c r="AH5" s="3">
        <v>15</v>
      </c>
      <c r="AI5" s="3">
        <v>14</v>
      </c>
      <c r="AJ5" s="3">
        <v>13</v>
      </c>
      <c r="AK5" s="3">
        <v>12</v>
      </c>
      <c r="AL5" s="3">
        <v>11</v>
      </c>
      <c r="AM5" s="3">
        <v>10</v>
      </c>
      <c r="AN5" s="3">
        <v>9</v>
      </c>
      <c r="AO5" s="3">
        <v>8</v>
      </c>
      <c r="AP5" s="3">
        <v>7</v>
      </c>
      <c r="AQ5" s="3">
        <v>6</v>
      </c>
      <c r="AR5" s="3">
        <v>5</v>
      </c>
      <c r="AS5" s="3">
        <v>4</v>
      </c>
      <c r="AT5" s="3">
        <v>3</v>
      </c>
      <c r="AU5" s="3">
        <v>2</v>
      </c>
      <c r="AV5" s="3">
        <v>1</v>
      </c>
      <c r="AW5" s="3">
        <v>0</v>
      </c>
      <c r="AX5" s="3">
        <v>15</v>
      </c>
      <c r="AY5" s="3">
        <v>14</v>
      </c>
      <c r="AZ5" s="3">
        <v>13</v>
      </c>
      <c r="BA5" s="3">
        <v>12</v>
      </c>
      <c r="BB5" s="3">
        <v>11</v>
      </c>
      <c r="BC5" s="3">
        <v>10</v>
      </c>
      <c r="BD5" s="3">
        <v>9</v>
      </c>
      <c r="BE5" s="3">
        <v>8</v>
      </c>
      <c r="BF5" s="3">
        <v>7</v>
      </c>
      <c r="BG5" s="3">
        <v>6</v>
      </c>
      <c r="BH5" s="3">
        <v>5</v>
      </c>
      <c r="BI5" s="3">
        <v>4</v>
      </c>
      <c r="BJ5" s="3">
        <v>3</v>
      </c>
      <c r="BK5" s="3">
        <v>2</v>
      </c>
      <c r="BL5" s="3">
        <v>1</v>
      </c>
      <c r="BM5" s="3">
        <v>0</v>
      </c>
    </row>
    <row r="6" spans="1:65" x14ac:dyDescent="0.25">
      <c r="A6" s="3" t="s">
        <v>3</v>
      </c>
      <c r="B6" s="7">
        <v>0</v>
      </c>
      <c r="C6" s="7">
        <v>1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1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1</v>
      </c>
      <c r="V6" s="7">
        <v>0</v>
      </c>
      <c r="W6" s="7">
        <v>0</v>
      </c>
      <c r="X6" s="7">
        <v>1</v>
      </c>
      <c r="Y6" s="7">
        <v>0</v>
      </c>
      <c r="Z6" s="7">
        <v>1</v>
      </c>
      <c r="AA6" s="7">
        <v>0</v>
      </c>
      <c r="AB6" s="7">
        <v>0</v>
      </c>
      <c r="AC6" s="7">
        <v>0</v>
      </c>
      <c r="AD6" s="7">
        <v>0</v>
      </c>
      <c r="AE6" s="7">
        <v>0</v>
      </c>
      <c r="AF6" s="7">
        <v>0</v>
      </c>
      <c r="AG6" s="7">
        <v>0</v>
      </c>
      <c r="AH6" s="7">
        <v>0</v>
      </c>
      <c r="AI6" s="7">
        <v>0</v>
      </c>
      <c r="AJ6" s="7">
        <v>0</v>
      </c>
      <c r="AK6" s="7">
        <v>0</v>
      </c>
      <c r="AL6" s="7">
        <v>0</v>
      </c>
      <c r="AM6" s="7">
        <v>0</v>
      </c>
      <c r="AN6" s="7">
        <v>1</v>
      </c>
      <c r="AO6" s="7">
        <v>1</v>
      </c>
      <c r="AP6" s="7">
        <v>0</v>
      </c>
      <c r="AQ6" s="7">
        <v>0</v>
      </c>
      <c r="AR6" s="7">
        <v>0</v>
      </c>
      <c r="AS6" s="7">
        <v>0</v>
      </c>
      <c r="AT6" s="7">
        <v>0</v>
      </c>
      <c r="AU6" s="7">
        <v>0</v>
      </c>
      <c r="AV6" s="7">
        <v>0</v>
      </c>
      <c r="AW6" s="7">
        <v>0</v>
      </c>
      <c r="AX6" s="7">
        <v>0</v>
      </c>
      <c r="AY6" s="7">
        <v>0</v>
      </c>
      <c r="AZ6" s="7">
        <v>0</v>
      </c>
      <c r="BA6" s="7">
        <v>0</v>
      </c>
      <c r="BB6" s="7">
        <v>0</v>
      </c>
      <c r="BC6" s="7">
        <v>1</v>
      </c>
      <c r="BD6" s="7">
        <v>0</v>
      </c>
      <c r="BE6" s="7">
        <v>0</v>
      </c>
      <c r="BF6" s="7">
        <v>0</v>
      </c>
      <c r="BG6" s="7">
        <v>0</v>
      </c>
      <c r="BH6" s="7">
        <v>0</v>
      </c>
      <c r="BI6" s="7">
        <v>0</v>
      </c>
      <c r="BJ6" s="7">
        <v>0</v>
      </c>
      <c r="BK6" s="7">
        <v>0</v>
      </c>
      <c r="BL6" s="7">
        <v>0</v>
      </c>
      <c r="BM6" s="7">
        <v>0</v>
      </c>
    </row>
    <row r="7" spans="1:65" ht="30" customHeight="1" x14ac:dyDescent="0.25">
      <c r="A7" s="3" t="s">
        <v>4</v>
      </c>
      <c r="B7" s="73">
        <v>16640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4">
        <v>4736</v>
      </c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>
        <v>768</v>
      </c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>
        <v>1024</v>
      </c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</row>
    <row r="8" spans="1:65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</row>
    <row r="9" spans="1:65" x14ac:dyDescent="0.25">
      <c r="B9" s="8"/>
      <c r="C9" s="9"/>
      <c r="D9" s="9"/>
      <c r="E9" s="9"/>
      <c r="F9" s="9"/>
      <c r="G9" s="9"/>
      <c r="H9" s="10"/>
      <c r="I9" s="5"/>
      <c r="J9" s="68" t="s">
        <v>5</v>
      </c>
      <c r="K9" s="68"/>
      <c r="L9" s="68"/>
      <c r="M9" s="68"/>
    </row>
    <row r="10" spans="1:65" x14ac:dyDescent="0.25">
      <c r="B10" s="11"/>
      <c r="C10" s="12"/>
      <c r="D10" s="12"/>
      <c r="E10" s="12"/>
      <c r="F10" s="12"/>
      <c r="G10" s="12"/>
      <c r="H10" s="13"/>
      <c r="I10" s="5"/>
      <c r="J10" s="69" t="s">
        <v>13</v>
      </c>
      <c r="K10" s="70"/>
      <c r="L10" s="70"/>
      <c r="M10" s="71"/>
    </row>
    <row r="11" spans="1:65" ht="18.75" customHeight="1" x14ac:dyDescent="0.25">
      <c r="B11" s="14"/>
      <c r="C11" s="12"/>
      <c r="D11" s="12"/>
      <c r="E11" s="12"/>
      <c r="F11" s="12"/>
      <c r="G11" s="12"/>
      <c r="H11" s="13"/>
      <c r="I11" s="5"/>
      <c r="J11" s="5"/>
      <c r="K11" s="5"/>
      <c r="L11" s="5"/>
      <c r="M11" s="5"/>
    </row>
    <row r="12" spans="1:65" x14ac:dyDescent="0.25">
      <c r="B12" s="14"/>
      <c r="C12" s="12"/>
      <c r="D12" s="12"/>
      <c r="E12" s="12"/>
      <c r="F12" s="12"/>
      <c r="G12" s="12"/>
      <c r="H12" s="13"/>
      <c r="I12" s="5"/>
      <c r="J12" s="68" t="s">
        <v>6</v>
      </c>
      <c r="K12" s="68"/>
      <c r="L12" s="68"/>
      <c r="M12" s="68"/>
    </row>
    <row r="13" spans="1:65" x14ac:dyDescent="0.25">
      <c r="B13" s="14"/>
      <c r="C13" s="12"/>
      <c r="D13" s="12"/>
      <c r="E13" s="12"/>
      <c r="F13" s="12"/>
      <c r="G13" s="12"/>
      <c r="H13" s="13"/>
      <c r="I13" s="6">
        <v>8</v>
      </c>
      <c r="J13" s="69">
        <v>16</v>
      </c>
      <c r="K13" s="70"/>
      <c r="L13" s="70"/>
      <c r="M13" s="71"/>
      <c r="U13" s="18" t="s">
        <v>22</v>
      </c>
    </row>
    <row r="14" spans="1:65" ht="18.75" customHeight="1" x14ac:dyDescent="0.25">
      <c r="B14" s="14"/>
      <c r="C14" s="12"/>
      <c r="D14" s="12"/>
      <c r="E14" s="12"/>
      <c r="F14" s="12"/>
      <c r="G14" s="12"/>
      <c r="H14" s="13"/>
      <c r="I14" s="5"/>
      <c r="J14" s="5"/>
      <c r="K14" s="5"/>
      <c r="L14" s="5"/>
      <c r="M14" s="5"/>
      <c r="U14" s="18" t="s">
        <v>23</v>
      </c>
    </row>
    <row r="15" spans="1:65" x14ac:dyDescent="0.25">
      <c r="B15" s="14"/>
      <c r="C15" s="12"/>
      <c r="D15" s="12"/>
      <c r="E15" s="12"/>
      <c r="F15" s="12"/>
      <c r="G15" s="12"/>
      <c r="H15" s="13"/>
      <c r="I15" s="5"/>
      <c r="J15" s="68" t="s">
        <v>8</v>
      </c>
      <c r="K15" s="68"/>
      <c r="L15" s="68"/>
      <c r="M15" s="68"/>
    </row>
    <row r="16" spans="1:65" x14ac:dyDescent="0.25">
      <c r="B16" s="15"/>
      <c r="C16" s="16"/>
      <c r="D16" s="16"/>
      <c r="E16" s="16"/>
      <c r="F16" s="16"/>
      <c r="G16" s="16"/>
      <c r="H16" s="17"/>
      <c r="I16" s="5"/>
      <c r="J16" s="72" t="s">
        <v>7</v>
      </c>
      <c r="K16" s="72"/>
      <c r="L16" s="72"/>
      <c r="M16" s="72"/>
    </row>
    <row r="18" spans="2:13" x14ac:dyDescent="0.25">
      <c r="B18" s="62" t="s">
        <v>9</v>
      </c>
      <c r="C18" s="63"/>
      <c r="D18" s="63"/>
      <c r="E18" s="63"/>
      <c r="F18" s="63"/>
      <c r="G18" s="63"/>
      <c r="H18" s="64"/>
    </row>
    <row r="19" spans="2:13" x14ac:dyDescent="0.25">
      <c r="B19" s="65" t="s">
        <v>10</v>
      </c>
      <c r="C19" s="66"/>
      <c r="D19" s="66"/>
      <c r="E19" s="66"/>
      <c r="F19" s="66"/>
      <c r="G19" s="66"/>
      <c r="H19" s="67"/>
    </row>
    <row r="21" spans="2:13" x14ac:dyDescent="0.25">
      <c r="B21" s="75" t="s">
        <v>11</v>
      </c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</row>
    <row r="22" spans="2:13" x14ac:dyDescent="0.25">
      <c r="B22" s="61" t="s">
        <v>17</v>
      </c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</row>
    <row r="23" spans="2:13" x14ac:dyDescent="0.25">
      <c r="B23" s="61" t="s">
        <v>18</v>
      </c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</row>
    <row r="24" spans="2:13" x14ac:dyDescent="0.25">
      <c r="B24" s="61" t="s">
        <v>19</v>
      </c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</row>
    <row r="25" spans="2:13" x14ac:dyDescent="0.25">
      <c r="B25" s="61" t="s">
        <v>20</v>
      </c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</row>
    <row r="26" spans="2:13" x14ac:dyDescent="0.25">
      <c r="B26" s="61" t="s">
        <v>21</v>
      </c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</row>
    <row r="27" spans="2:13" x14ac:dyDescent="0.25">
      <c r="B27" s="61" t="s">
        <v>14</v>
      </c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</row>
    <row r="28" spans="2:13" x14ac:dyDescent="0.25">
      <c r="B28" s="61" t="s">
        <v>15</v>
      </c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2:13" x14ac:dyDescent="0.25">
      <c r="B29" s="61" t="s">
        <v>16</v>
      </c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2:13" x14ac:dyDescent="0.25">
      <c r="B30" s="61" t="s">
        <v>12</v>
      </c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2:13" x14ac:dyDescent="0.25">
      <c r="B31" s="61" t="s">
        <v>12</v>
      </c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2:13" x14ac:dyDescent="0.25">
      <c r="B32" s="61" t="s">
        <v>12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2:13" x14ac:dyDescent="0.25">
      <c r="B33" s="61" t="s">
        <v>12</v>
      </c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2:13" x14ac:dyDescent="0.25">
      <c r="B34" s="61" t="s">
        <v>12</v>
      </c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2:13" x14ac:dyDescent="0.25">
      <c r="B35" s="61" t="s">
        <v>12</v>
      </c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2:13" x14ac:dyDescent="0.25">
      <c r="B36" s="61" t="s">
        <v>12</v>
      </c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2:13" x14ac:dyDescent="0.25">
      <c r="B37" s="61" t="s">
        <v>12</v>
      </c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</row>
  </sheetData>
  <mergeCells count="29">
    <mergeCell ref="B7:Q7"/>
    <mergeCell ref="R7:AG7"/>
    <mergeCell ref="AH7:AW7"/>
    <mergeCell ref="AX7:BM7"/>
    <mergeCell ref="B21:M21"/>
    <mergeCell ref="B22:M22"/>
    <mergeCell ref="B18:H18"/>
    <mergeCell ref="B19:H19"/>
    <mergeCell ref="J9:M9"/>
    <mergeCell ref="J10:M10"/>
    <mergeCell ref="J12:M12"/>
    <mergeCell ref="J13:M13"/>
    <mergeCell ref="J15:M15"/>
    <mergeCell ref="J16:M16"/>
    <mergeCell ref="B23:M23"/>
    <mergeCell ref="B24:M24"/>
    <mergeCell ref="B25:M25"/>
    <mergeCell ref="B26:M26"/>
    <mergeCell ref="B27:M27"/>
    <mergeCell ref="B28:M28"/>
    <mergeCell ref="B29:M29"/>
    <mergeCell ref="B30:M30"/>
    <mergeCell ref="B31:M31"/>
    <mergeCell ref="B32:M32"/>
    <mergeCell ref="B33:M33"/>
    <mergeCell ref="B34:M34"/>
    <mergeCell ref="B35:M35"/>
    <mergeCell ref="B36:M36"/>
    <mergeCell ref="B37:M37"/>
  </mergeCells>
  <dataValidations count="4">
    <dataValidation type="list" showInputMessage="1" showErrorMessage="1" sqref="J13" xr:uid="{1406B24F-82CA-48AB-A0C7-031BE8316314}">
      <formula1>"2,4,8,16,32"</formula1>
    </dataValidation>
    <dataValidation type="list" showInputMessage="1" showErrorMessage="1" sqref="J16:M16" xr:uid="{17D3AA3F-FAB9-469E-B38B-F4AAA3FA26D5}">
      <formula1>"Little,Big"</formula1>
    </dataValidation>
    <dataValidation type="list" showInputMessage="1" showErrorMessage="1" sqref="J10" xr:uid="{2765D9A3-F306-4326-8E8D-55E8BD4C1B59}">
      <formula1>"No,Ones' Comp.,Two's Comp.,Magnitude"</formula1>
    </dataValidation>
    <dataValidation type="list" showDropDown="1" showInputMessage="1" showErrorMessage="1" sqref="AX6:BM6" xr:uid="{B8C9ED6A-AD4F-41FD-84FD-30A91A62E8A5}">
      <formula1>"0,1"</formula1>
    </dataValidation>
  </dataValidations>
  <pageMargins left="0.7" right="0.7" top="0.75" bottom="0.75" header="0.3" footer="0.3"/>
  <pageSetup orientation="portrait" horizontalDpi="0" verticalDpi="0" r:id="rId1"/>
  <ignoredErrors>
    <ignoredError sqref="C37:M37 C23:M23 C24:M24 C25:M25 C26:M26 C27:M27 C28:M28 C29:M29 C30:M30 C31:M31 C32:M32 C33:M33 C34:M34 C35:M35 C36:M3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All">
                <anchor moveWithCells="1" sizeWithCells="1">
                  <from>
                    <xdr:col>1</xdr:col>
                    <xdr:colOff>123825</xdr:colOff>
                    <xdr:row>8</xdr:row>
                    <xdr:rowOff>66675</xdr:rowOff>
                  </from>
                  <to>
                    <xdr:col>7</xdr:col>
                    <xdr:colOff>123825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itGlobals">
                <anchor moveWithCells="1" sizeWithCells="1">
                  <from>
                    <xdr:col>1</xdr:col>
                    <xdr:colOff>123825</xdr:colOff>
                    <xdr:row>9</xdr:row>
                    <xdr:rowOff>171450</xdr:rowOff>
                  </from>
                  <to>
                    <xdr:col>7</xdr:col>
                    <xdr:colOff>123825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Globals">
                <anchor moveWithCells="1" sizeWithCells="1">
                  <from>
                    <xdr:col>1</xdr:col>
                    <xdr:colOff>123825</xdr:colOff>
                    <xdr:row>11</xdr:row>
                    <xdr:rowOff>85725</xdr:rowOff>
                  </from>
                  <to>
                    <xdr:col>7</xdr:col>
                    <xdr:colOff>123825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arseBinaryStrings">
                <anchor moveWithCells="1" sizeWithCells="1">
                  <from>
                    <xdr:col>1</xdr:col>
                    <xdr:colOff>133350</xdr:colOff>
                    <xdr:row>13</xdr:row>
                    <xdr:rowOff>0</xdr:rowOff>
                  </from>
                  <to>
                    <xdr:col>7</xdr:col>
                    <xdr:colOff>133350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DumpBinaryWordsToCells">
                <anchor moveWithCells="1" sizeWithCells="1">
                  <from>
                    <xdr:col>1</xdr:col>
                    <xdr:colOff>133350</xdr:colOff>
                    <xdr:row>14</xdr:row>
                    <xdr:rowOff>104775</xdr:rowOff>
                  </from>
                  <to>
                    <xdr:col>7</xdr:col>
                    <xdr:colOff>133350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8D7E0-DC53-44ED-B653-B3E13A37FE88}">
  <sheetPr codeName="Sheet2"/>
  <dimension ref="A1:CZ137"/>
  <sheetViews>
    <sheetView zoomScale="90" zoomScaleNormal="90" workbookViewId="0">
      <selection activeCell="H7" sqref="H7:V7"/>
    </sheetView>
  </sheetViews>
  <sheetFormatPr defaultRowHeight="15" x14ac:dyDescent="0.25"/>
  <cols>
    <col min="1" max="1" width="2.7109375" style="19" customWidth="1"/>
    <col min="2" max="2" width="7.140625" style="19" customWidth="1"/>
    <col min="3" max="3" width="18.5703125" style="20" customWidth="1"/>
    <col min="4" max="4" width="7.140625" style="19" customWidth="1"/>
    <col min="5" max="5" width="2.7109375" style="19" customWidth="1"/>
    <col min="6" max="6" width="0.5703125" style="21" customWidth="1"/>
    <col min="7" max="7" width="2.7109375" customWidth="1"/>
    <col min="8" max="8" width="17.5703125" bestFit="1" customWidth="1"/>
    <col min="9" max="9" width="12" bestFit="1" customWidth="1"/>
    <col min="10" max="10" width="9.5703125" bestFit="1" customWidth="1"/>
    <col min="11" max="11" width="9.140625" bestFit="1" customWidth="1"/>
    <col min="12" max="12" width="13.42578125" bestFit="1" customWidth="1"/>
    <col min="13" max="13" width="17" bestFit="1" customWidth="1"/>
    <col min="14" max="14" width="11.42578125" bestFit="1" customWidth="1"/>
    <col min="15" max="15" width="10.5703125" bestFit="1" customWidth="1"/>
    <col min="16" max="16" width="10.42578125" bestFit="1" customWidth="1"/>
    <col min="17" max="17" width="10.140625" bestFit="1" customWidth="1"/>
    <col min="18" max="18" width="33.28515625" bestFit="1" customWidth="1"/>
    <col min="19" max="19" width="58.7109375" bestFit="1" customWidth="1"/>
    <col min="20" max="20" width="13.28515625" bestFit="1" customWidth="1"/>
    <col min="21" max="21" width="12.7109375" bestFit="1" customWidth="1"/>
    <col min="22" max="22" width="61.140625" bestFit="1" customWidth="1"/>
  </cols>
  <sheetData>
    <row r="1" spans="2:104" x14ac:dyDescent="0.25">
      <c r="CZ1" t="s">
        <v>24</v>
      </c>
    </row>
    <row r="2" spans="2:104" x14ac:dyDescent="0.25">
      <c r="CZ2" t="s">
        <v>25</v>
      </c>
    </row>
    <row r="3" spans="2:104" ht="30.75" thickBot="1" x14ac:dyDescent="0.3">
      <c r="H3" s="22" t="s">
        <v>26</v>
      </c>
      <c r="I3" s="23" t="s">
        <v>27</v>
      </c>
      <c r="J3" s="22" t="s">
        <v>28</v>
      </c>
      <c r="K3" s="22" t="s">
        <v>29</v>
      </c>
      <c r="L3" s="23" t="s">
        <v>30</v>
      </c>
      <c r="M3" s="22" t="s">
        <v>31</v>
      </c>
      <c r="N3" s="23" t="s">
        <v>32</v>
      </c>
      <c r="O3" s="23" t="s">
        <v>33</v>
      </c>
      <c r="P3" s="22" t="s">
        <v>34</v>
      </c>
      <c r="Q3" s="22" t="s">
        <v>35</v>
      </c>
      <c r="R3" s="22" t="s">
        <v>36</v>
      </c>
      <c r="S3" s="22" t="s">
        <v>37</v>
      </c>
      <c r="T3" s="23" t="s">
        <v>38</v>
      </c>
      <c r="U3" s="23" t="s">
        <v>39</v>
      </c>
      <c r="V3" s="22" t="s">
        <v>40</v>
      </c>
      <c r="CZ3" t="s">
        <v>453</v>
      </c>
    </row>
    <row r="4" spans="2:104" x14ac:dyDescent="0.25">
      <c r="B4" s="24"/>
      <c r="C4" s="25" t="s">
        <v>42</v>
      </c>
      <c r="D4" s="26"/>
      <c r="H4" s="27" t="s">
        <v>43</v>
      </c>
      <c r="I4" s="27" t="s">
        <v>44</v>
      </c>
      <c r="J4" s="27" t="s">
        <v>45</v>
      </c>
      <c r="K4" s="27" t="s">
        <v>46</v>
      </c>
      <c r="L4" s="27" t="s">
        <v>47</v>
      </c>
      <c r="M4" s="27" t="s">
        <v>48</v>
      </c>
      <c r="N4" s="27" t="s">
        <v>49</v>
      </c>
      <c r="O4" s="27" t="s">
        <v>50</v>
      </c>
      <c r="P4" s="27" t="s">
        <v>51</v>
      </c>
      <c r="Q4" s="27"/>
      <c r="R4" s="28" t="s">
        <v>52</v>
      </c>
      <c r="S4" s="28" t="s">
        <v>53</v>
      </c>
      <c r="T4" s="27" t="s">
        <v>54</v>
      </c>
      <c r="U4" s="27" t="s">
        <v>55</v>
      </c>
      <c r="V4" s="28"/>
      <c r="CZ4" t="s">
        <v>41</v>
      </c>
    </row>
    <row r="5" spans="2:104" x14ac:dyDescent="0.25">
      <c r="B5" s="29"/>
      <c r="C5" s="5" t="s">
        <v>44</v>
      </c>
      <c r="D5" s="30"/>
      <c r="H5" s="27" t="s">
        <v>43</v>
      </c>
      <c r="I5" s="27" t="s">
        <v>44</v>
      </c>
      <c r="J5" s="27" t="s">
        <v>45</v>
      </c>
      <c r="K5" s="27" t="s">
        <v>46</v>
      </c>
      <c r="L5" s="27" t="s">
        <v>56</v>
      </c>
      <c r="M5" s="27" t="s">
        <v>57</v>
      </c>
      <c r="N5" s="27" t="s">
        <v>58</v>
      </c>
      <c r="O5" s="27" t="s">
        <v>59</v>
      </c>
      <c r="P5" s="27" t="s">
        <v>60</v>
      </c>
      <c r="Q5" s="27" t="s">
        <v>61</v>
      </c>
      <c r="R5" s="28" t="s">
        <v>62</v>
      </c>
      <c r="S5" s="28" t="s">
        <v>63</v>
      </c>
      <c r="T5" s="27" t="s">
        <v>54</v>
      </c>
      <c r="U5" s="27" t="s">
        <v>55</v>
      </c>
      <c r="V5" s="28"/>
      <c r="CZ5" t="s">
        <v>44</v>
      </c>
    </row>
    <row r="6" spans="2:104" ht="15.75" thickBot="1" x14ac:dyDescent="0.3">
      <c r="B6" s="31"/>
      <c r="C6" s="32"/>
      <c r="D6" s="33"/>
      <c r="H6" s="27" t="s">
        <v>43</v>
      </c>
      <c r="I6" s="27" t="s">
        <v>44</v>
      </c>
      <c r="J6" s="27" t="s">
        <v>45</v>
      </c>
      <c r="K6" s="27" t="s">
        <v>46</v>
      </c>
      <c r="L6" s="27" t="s">
        <v>65</v>
      </c>
      <c r="M6" s="27" t="s">
        <v>66</v>
      </c>
      <c r="N6" s="27" t="s">
        <v>67</v>
      </c>
      <c r="O6" s="27" t="s">
        <v>59</v>
      </c>
      <c r="P6" s="27" t="s">
        <v>68</v>
      </c>
      <c r="Q6" s="27" t="s">
        <v>69</v>
      </c>
      <c r="R6" s="28" t="s">
        <v>70</v>
      </c>
      <c r="S6" s="28" t="s">
        <v>71</v>
      </c>
      <c r="T6" s="27" t="s">
        <v>72</v>
      </c>
      <c r="U6" s="27" t="s">
        <v>73</v>
      </c>
      <c r="V6" s="28" t="s">
        <v>74</v>
      </c>
      <c r="CZ6" t="s">
        <v>64</v>
      </c>
    </row>
    <row r="7" spans="2:104" ht="15.75" thickBot="1" x14ac:dyDescent="0.3">
      <c r="H7" s="27" t="s">
        <v>43</v>
      </c>
      <c r="I7" s="27" t="s">
        <v>44</v>
      </c>
      <c r="J7" s="27" t="s">
        <v>45</v>
      </c>
      <c r="K7" s="27" t="s">
        <v>46</v>
      </c>
      <c r="L7" s="27" t="s">
        <v>65</v>
      </c>
      <c r="M7" s="27" t="s">
        <v>66</v>
      </c>
      <c r="N7" s="27" t="s">
        <v>76</v>
      </c>
      <c r="O7" s="27" t="s">
        <v>77</v>
      </c>
      <c r="P7" s="27" t="s">
        <v>78</v>
      </c>
      <c r="Q7" s="27" t="s">
        <v>69</v>
      </c>
      <c r="R7" s="28" t="s">
        <v>79</v>
      </c>
      <c r="S7" s="28" t="s">
        <v>80</v>
      </c>
      <c r="T7" s="27" t="s">
        <v>72</v>
      </c>
      <c r="U7" s="27" t="s">
        <v>73</v>
      </c>
      <c r="V7" s="28" t="s">
        <v>74</v>
      </c>
      <c r="CZ7" t="s">
        <v>75</v>
      </c>
    </row>
    <row r="8" spans="2:104" x14ac:dyDescent="0.25">
      <c r="B8" s="34"/>
      <c r="C8" s="35" t="s">
        <v>454</v>
      </c>
      <c r="D8" s="36"/>
      <c r="H8" s="27" t="s">
        <v>43</v>
      </c>
      <c r="I8" s="27" t="s">
        <v>44</v>
      </c>
      <c r="J8" s="27" t="s">
        <v>45</v>
      </c>
      <c r="K8" s="27" t="s">
        <v>46</v>
      </c>
      <c r="L8" s="27" t="s">
        <v>65</v>
      </c>
      <c r="M8" s="27" t="s">
        <v>66</v>
      </c>
      <c r="N8" s="27" t="s">
        <v>82</v>
      </c>
      <c r="O8" s="27" t="s">
        <v>83</v>
      </c>
      <c r="P8" s="27" t="s">
        <v>84</v>
      </c>
      <c r="Q8" s="27" t="s">
        <v>85</v>
      </c>
      <c r="R8" s="28" t="s">
        <v>86</v>
      </c>
      <c r="S8" s="28" t="s">
        <v>87</v>
      </c>
      <c r="T8" s="27" t="s">
        <v>88</v>
      </c>
      <c r="U8" s="27" t="s">
        <v>73</v>
      </c>
      <c r="V8" s="28" t="s">
        <v>89</v>
      </c>
      <c r="CZ8" t="s">
        <v>81</v>
      </c>
    </row>
    <row r="9" spans="2:104" x14ac:dyDescent="0.25">
      <c r="B9" s="37"/>
      <c r="C9" s="38"/>
      <c r="D9" s="39"/>
      <c r="H9" s="27" t="s">
        <v>43</v>
      </c>
      <c r="I9" s="27" t="s">
        <v>44</v>
      </c>
      <c r="J9" s="27" t="s">
        <v>45</v>
      </c>
      <c r="K9" s="27" t="s">
        <v>46</v>
      </c>
      <c r="L9" s="27" t="s">
        <v>65</v>
      </c>
      <c r="M9" s="27" t="s">
        <v>66</v>
      </c>
      <c r="N9" s="27" t="s">
        <v>82</v>
      </c>
      <c r="O9" s="27" t="s">
        <v>83</v>
      </c>
      <c r="P9" s="27" t="s">
        <v>84</v>
      </c>
      <c r="Q9" s="27" t="s">
        <v>91</v>
      </c>
      <c r="R9" s="28" t="s">
        <v>92</v>
      </c>
      <c r="S9" s="28" t="s">
        <v>93</v>
      </c>
      <c r="T9" s="27" t="s">
        <v>88</v>
      </c>
      <c r="U9" s="27" t="s">
        <v>73</v>
      </c>
      <c r="V9" s="28" t="s">
        <v>89</v>
      </c>
      <c r="CZ9" t="s">
        <v>90</v>
      </c>
    </row>
    <row r="10" spans="2:104" x14ac:dyDescent="0.25">
      <c r="B10" s="37"/>
      <c r="C10" s="38"/>
      <c r="D10" s="39"/>
      <c r="H10" s="27" t="s">
        <v>43</v>
      </c>
      <c r="I10" s="27" t="s">
        <v>44</v>
      </c>
      <c r="J10" s="27" t="s">
        <v>45</v>
      </c>
      <c r="K10" s="27" t="s">
        <v>46</v>
      </c>
      <c r="L10" s="27" t="s">
        <v>65</v>
      </c>
      <c r="M10" s="27" t="s">
        <v>66</v>
      </c>
      <c r="N10" s="27" t="s">
        <v>82</v>
      </c>
      <c r="O10" s="27" t="s">
        <v>83</v>
      </c>
      <c r="P10" s="27" t="s">
        <v>84</v>
      </c>
      <c r="Q10" s="27" t="s">
        <v>95</v>
      </c>
      <c r="R10" s="28" t="s">
        <v>96</v>
      </c>
      <c r="S10" s="28" t="s">
        <v>97</v>
      </c>
      <c r="T10" s="27" t="s">
        <v>88</v>
      </c>
      <c r="U10" s="27" t="s">
        <v>73</v>
      </c>
      <c r="V10" s="28" t="s">
        <v>89</v>
      </c>
      <c r="CZ10" t="s">
        <v>94</v>
      </c>
    </row>
    <row r="11" spans="2:104" x14ac:dyDescent="0.25">
      <c r="B11" s="37"/>
      <c r="C11" s="38"/>
      <c r="D11" s="39"/>
      <c r="H11" s="27" t="s">
        <v>43</v>
      </c>
      <c r="I11" s="27" t="s">
        <v>44</v>
      </c>
      <c r="J11" s="27" t="s">
        <v>45</v>
      </c>
      <c r="K11" s="27" t="s">
        <v>46</v>
      </c>
      <c r="L11" s="27" t="s">
        <v>65</v>
      </c>
      <c r="M11" s="27" t="s">
        <v>66</v>
      </c>
      <c r="N11" s="27" t="s">
        <v>82</v>
      </c>
      <c r="O11" s="27" t="s">
        <v>83</v>
      </c>
      <c r="P11" s="27" t="s">
        <v>84</v>
      </c>
      <c r="Q11" s="27" t="s">
        <v>99</v>
      </c>
      <c r="R11" s="28" t="s">
        <v>100</v>
      </c>
      <c r="S11" s="28" t="s">
        <v>101</v>
      </c>
      <c r="T11" s="27" t="s">
        <v>88</v>
      </c>
      <c r="U11" s="27" t="s">
        <v>73</v>
      </c>
      <c r="V11" s="28" t="s">
        <v>89</v>
      </c>
      <c r="CZ11" t="s">
        <v>98</v>
      </c>
    </row>
    <row r="12" spans="2:104" x14ac:dyDescent="0.25">
      <c r="B12" s="37"/>
      <c r="C12" s="38"/>
      <c r="D12" s="39"/>
      <c r="H12" s="27" t="s">
        <v>43</v>
      </c>
      <c r="I12" s="27" t="s">
        <v>44</v>
      </c>
      <c r="J12" s="27" t="s">
        <v>45</v>
      </c>
      <c r="K12" s="27" t="s">
        <v>46</v>
      </c>
      <c r="L12" s="27" t="s">
        <v>65</v>
      </c>
      <c r="M12" s="27" t="s">
        <v>66</v>
      </c>
      <c r="N12" s="27" t="s">
        <v>82</v>
      </c>
      <c r="O12" s="27" t="s">
        <v>83</v>
      </c>
      <c r="P12" s="27" t="s">
        <v>84</v>
      </c>
      <c r="Q12" s="27" t="s">
        <v>69</v>
      </c>
      <c r="R12" s="28" t="s">
        <v>103</v>
      </c>
      <c r="S12" s="28" t="s">
        <v>104</v>
      </c>
      <c r="T12" s="27" t="s">
        <v>88</v>
      </c>
      <c r="U12" s="27" t="s">
        <v>73</v>
      </c>
      <c r="V12" s="28" t="s">
        <v>89</v>
      </c>
      <c r="CZ12" t="s">
        <v>102</v>
      </c>
    </row>
    <row r="13" spans="2:104" x14ac:dyDescent="0.25">
      <c r="B13" s="37"/>
      <c r="C13" s="38"/>
      <c r="D13" s="39"/>
      <c r="H13" s="27" t="s">
        <v>43</v>
      </c>
      <c r="I13" s="27" t="s">
        <v>44</v>
      </c>
      <c r="J13" s="27" t="s">
        <v>45</v>
      </c>
      <c r="K13" s="27" t="s">
        <v>46</v>
      </c>
      <c r="L13" s="27" t="s">
        <v>65</v>
      </c>
      <c r="M13" s="27" t="s">
        <v>66</v>
      </c>
      <c r="N13" s="27" t="s">
        <v>82</v>
      </c>
      <c r="O13" s="27" t="s">
        <v>83</v>
      </c>
      <c r="P13" s="27" t="s">
        <v>106</v>
      </c>
      <c r="Q13" s="27" t="s">
        <v>85</v>
      </c>
      <c r="R13" s="28" t="s">
        <v>107</v>
      </c>
      <c r="S13" s="28" t="s">
        <v>108</v>
      </c>
      <c r="T13" s="27" t="s">
        <v>88</v>
      </c>
      <c r="U13" s="27" t="s">
        <v>73</v>
      </c>
      <c r="V13" s="28" t="s">
        <v>89</v>
      </c>
      <c r="CZ13" t="s">
        <v>105</v>
      </c>
    </row>
    <row r="14" spans="2:104" x14ac:dyDescent="0.25">
      <c r="B14" s="37"/>
      <c r="C14" s="38"/>
      <c r="D14" s="39"/>
      <c r="H14" s="27" t="s">
        <v>43</v>
      </c>
      <c r="I14" s="27" t="s">
        <v>44</v>
      </c>
      <c r="J14" s="27" t="s">
        <v>45</v>
      </c>
      <c r="K14" s="27" t="s">
        <v>46</v>
      </c>
      <c r="L14" s="27" t="s">
        <v>65</v>
      </c>
      <c r="M14" s="27" t="s">
        <v>66</v>
      </c>
      <c r="N14" s="27" t="s">
        <v>82</v>
      </c>
      <c r="O14" s="27" t="s">
        <v>83</v>
      </c>
      <c r="P14" s="27" t="s">
        <v>106</v>
      </c>
      <c r="Q14" s="27" t="s">
        <v>91</v>
      </c>
      <c r="R14" s="28" t="s">
        <v>110</v>
      </c>
      <c r="S14" s="28" t="s">
        <v>111</v>
      </c>
      <c r="T14" s="27" t="s">
        <v>88</v>
      </c>
      <c r="U14" s="27" t="s">
        <v>73</v>
      </c>
      <c r="V14" s="28" t="s">
        <v>89</v>
      </c>
      <c r="CZ14" t="s">
        <v>109</v>
      </c>
    </row>
    <row r="15" spans="2:104" x14ac:dyDescent="0.25">
      <c r="B15" s="37"/>
      <c r="C15" s="38"/>
      <c r="D15" s="39"/>
      <c r="H15" s="27" t="s">
        <v>43</v>
      </c>
      <c r="I15" s="27" t="s">
        <v>44</v>
      </c>
      <c r="J15" s="27" t="s">
        <v>45</v>
      </c>
      <c r="K15" s="27" t="s">
        <v>46</v>
      </c>
      <c r="L15" s="27" t="s">
        <v>65</v>
      </c>
      <c r="M15" s="27" t="s">
        <v>66</v>
      </c>
      <c r="N15" s="27" t="s">
        <v>82</v>
      </c>
      <c r="O15" s="27" t="s">
        <v>83</v>
      </c>
      <c r="P15" s="27" t="s">
        <v>106</v>
      </c>
      <c r="Q15" s="27" t="s">
        <v>95</v>
      </c>
      <c r="R15" s="28" t="s">
        <v>113</v>
      </c>
      <c r="S15" s="28" t="s">
        <v>114</v>
      </c>
      <c r="T15" s="27" t="s">
        <v>88</v>
      </c>
      <c r="U15" s="27" t="s">
        <v>73</v>
      </c>
      <c r="V15" s="28" t="s">
        <v>89</v>
      </c>
      <c r="CZ15" t="s">
        <v>112</v>
      </c>
    </row>
    <row r="16" spans="2:104" x14ac:dyDescent="0.25">
      <c r="B16" s="37"/>
      <c r="C16" s="38"/>
      <c r="D16" s="39"/>
      <c r="H16" s="27" t="s">
        <v>43</v>
      </c>
      <c r="I16" s="27" t="s">
        <v>44</v>
      </c>
      <c r="J16" s="27" t="s">
        <v>45</v>
      </c>
      <c r="K16" s="27" t="s">
        <v>46</v>
      </c>
      <c r="L16" s="27" t="s">
        <v>65</v>
      </c>
      <c r="M16" s="27" t="s">
        <v>66</v>
      </c>
      <c r="N16" s="27" t="s">
        <v>82</v>
      </c>
      <c r="O16" s="27" t="s">
        <v>83</v>
      </c>
      <c r="P16" s="27" t="s">
        <v>106</v>
      </c>
      <c r="Q16" s="27" t="s">
        <v>99</v>
      </c>
      <c r="R16" s="28" t="s">
        <v>116</v>
      </c>
      <c r="S16" s="28" t="s">
        <v>117</v>
      </c>
      <c r="T16" s="27" t="s">
        <v>88</v>
      </c>
      <c r="U16" s="27" t="s">
        <v>73</v>
      </c>
      <c r="V16" s="28" t="s">
        <v>89</v>
      </c>
      <c r="CZ16" t="s">
        <v>115</v>
      </c>
    </row>
    <row r="17" spans="2:104" ht="15.75" thickBot="1" x14ac:dyDescent="0.3">
      <c r="B17" s="40"/>
      <c r="C17" s="41"/>
      <c r="D17" s="42"/>
      <c r="H17" s="27" t="s">
        <v>43</v>
      </c>
      <c r="I17" s="27" t="s">
        <v>44</v>
      </c>
      <c r="J17" s="27" t="s">
        <v>45</v>
      </c>
      <c r="K17" s="27" t="s">
        <v>46</v>
      </c>
      <c r="L17" s="27" t="s">
        <v>65</v>
      </c>
      <c r="M17" s="27" t="s">
        <v>66</v>
      </c>
      <c r="N17" s="27" t="s">
        <v>82</v>
      </c>
      <c r="O17" s="27" t="s">
        <v>83</v>
      </c>
      <c r="P17" s="27" t="s">
        <v>106</v>
      </c>
      <c r="Q17" s="27" t="s">
        <v>69</v>
      </c>
      <c r="R17" s="28" t="s">
        <v>119</v>
      </c>
      <c r="S17" s="28" t="s">
        <v>120</v>
      </c>
      <c r="T17" s="27" t="s">
        <v>88</v>
      </c>
      <c r="U17" s="27" t="s">
        <v>73</v>
      </c>
      <c r="V17" s="28" t="s">
        <v>89</v>
      </c>
      <c r="CZ17" t="s">
        <v>118</v>
      </c>
    </row>
    <row r="18" spans="2:104" ht="15.75" thickBot="1" x14ac:dyDescent="0.3">
      <c r="H18" s="27" t="s">
        <v>43</v>
      </c>
      <c r="I18" s="27" t="s">
        <v>44</v>
      </c>
      <c r="J18" s="27" t="s">
        <v>45</v>
      </c>
      <c r="K18" s="27" t="s">
        <v>46</v>
      </c>
      <c r="L18" s="27" t="s">
        <v>65</v>
      </c>
      <c r="M18" s="27" t="s">
        <v>66</v>
      </c>
      <c r="N18" s="27" t="s">
        <v>121</v>
      </c>
      <c r="O18" s="27" t="s">
        <v>83</v>
      </c>
      <c r="P18" s="27" t="s">
        <v>122</v>
      </c>
      <c r="Q18" s="27" t="s">
        <v>123</v>
      </c>
      <c r="R18" s="28" t="s">
        <v>124</v>
      </c>
      <c r="S18" s="28" t="s">
        <v>125</v>
      </c>
      <c r="T18" s="27" t="s">
        <v>72</v>
      </c>
      <c r="U18" s="27" t="s">
        <v>73</v>
      </c>
      <c r="V18" s="28" t="s">
        <v>74</v>
      </c>
    </row>
    <row r="19" spans="2:104" x14ac:dyDescent="0.25">
      <c r="B19" s="52"/>
      <c r="C19" s="53" t="s">
        <v>455</v>
      </c>
      <c r="D19" s="54"/>
      <c r="H19" s="27" t="s">
        <v>43</v>
      </c>
      <c r="I19" s="27" t="s">
        <v>44</v>
      </c>
      <c r="J19" s="27" t="s">
        <v>45</v>
      </c>
      <c r="K19" s="27" t="s">
        <v>46</v>
      </c>
      <c r="L19" s="27" t="s">
        <v>65</v>
      </c>
      <c r="M19" s="27" t="s">
        <v>66</v>
      </c>
      <c r="N19" s="27" t="s">
        <v>121</v>
      </c>
      <c r="O19" s="27" t="s">
        <v>83</v>
      </c>
      <c r="P19" s="27" t="s">
        <v>122</v>
      </c>
      <c r="Q19" s="27" t="s">
        <v>85</v>
      </c>
      <c r="R19" s="28" t="s">
        <v>126</v>
      </c>
      <c r="S19" s="28" t="s">
        <v>127</v>
      </c>
      <c r="T19" s="27" t="s">
        <v>72</v>
      </c>
      <c r="U19" s="27" t="s">
        <v>73</v>
      </c>
      <c r="V19" s="28" t="s">
        <v>74</v>
      </c>
    </row>
    <row r="20" spans="2:104" x14ac:dyDescent="0.25">
      <c r="B20" s="55"/>
      <c r="C20" s="56"/>
      <c r="D20" s="57"/>
      <c r="H20" s="27" t="s">
        <v>43</v>
      </c>
      <c r="I20" s="27" t="s">
        <v>44</v>
      </c>
      <c r="J20" s="27" t="s">
        <v>45</v>
      </c>
      <c r="K20" s="27" t="s">
        <v>46</v>
      </c>
      <c r="L20" s="27" t="s">
        <v>65</v>
      </c>
      <c r="M20" s="27" t="s">
        <v>66</v>
      </c>
      <c r="N20" s="27" t="s">
        <v>121</v>
      </c>
      <c r="O20" s="27" t="s">
        <v>83</v>
      </c>
      <c r="P20" s="27" t="s">
        <v>122</v>
      </c>
      <c r="Q20" s="27" t="s">
        <v>95</v>
      </c>
      <c r="R20" s="28" t="s">
        <v>128</v>
      </c>
      <c r="S20" s="28" t="s">
        <v>129</v>
      </c>
      <c r="T20" s="27" t="s">
        <v>72</v>
      </c>
      <c r="U20" s="27" t="s">
        <v>73</v>
      </c>
      <c r="V20" s="28" t="s">
        <v>74</v>
      </c>
    </row>
    <row r="21" spans="2:104" x14ac:dyDescent="0.25">
      <c r="B21" s="55"/>
      <c r="C21" s="56"/>
      <c r="D21" s="57"/>
      <c r="H21" s="27" t="s">
        <v>43</v>
      </c>
      <c r="I21" s="27" t="s">
        <v>44</v>
      </c>
      <c r="J21" s="27" t="s">
        <v>45</v>
      </c>
      <c r="K21" s="27" t="s">
        <v>46</v>
      </c>
      <c r="L21" s="27" t="s">
        <v>65</v>
      </c>
      <c r="M21" s="27" t="s">
        <v>66</v>
      </c>
      <c r="N21" s="27" t="s">
        <v>121</v>
      </c>
      <c r="O21" s="27" t="s">
        <v>83</v>
      </c>
      <c r="P21" s="27" t="s">
        <v>122</v>
      </c>
      <c r="Q21" s="27" t="s">
        <v>99</v>
      </c>
      <c r="R21" s="28" t="s">
        <v>130</v>
      </c>
      <c r="S21" s="28" t="s">
        <v>131</v>
      </c>
      <c r="T21" s="27" t="s">
        <v>72</v>
      </c>
      <c r="U21" s="27" t="s">
        <v>73</v>
      </c>
      <c r="V21" s="28" t="s">
        <v>74</v>
      </c>
    </row>
    <row r="22" spans="2:104" x14ac:dyDescent="0.25">
      <c r="B22" s="55"/>
      <c r="C22" s="56"/>
      <c r="D22" s="57"/>
      <c r="H22" s="27" t="s">
        <v>43</v>
      </c>
      <c r="I22" s="27" t="s">
        <v>44</v>
      </c>
      <c r="J22" s="27" t="s">
        <v>45</v>
      </c>
      <c r="K22" s="27" t="s">
        <v>46</v>
      </c>
      <c r="L22" s="27" t="s">
        <v>65</v>
      </c>
      <c r="M22" s="27" t="s">
        <v>66</v>
      </c>
      <c r="N22" s="27" t="s">
        <v>121</v>
      </c>
      <c r="O22" s="27" t="s">
        <v>83</v>
      </c>
      <c r="P22" s="27" t="s">
        <v>122</v>
      </c>
      <c r="Q22" s="27" t="s">
        <v>69</v>
      </c>
      <c r="R22" s="28" t="s">
        <v>132</v>
      </c>
      <c r="S22" s="28" t="s">
        <v>133</v>
      </c>
      <c r="T22" s="27" t="s">
        <v>72</v>
      </c>
      <c r="U22" s="27" t="s">
        <v>73</v>
      </c>
      <c r="V22" s="28" t="s">
        <v>74</v>
      </c>
    </row>
    <row r="23" spans="2:104" x14ac:dyDescent="0.25">
      <c r="B23" s="55"/>
      <c r="C23" s="56"/>
      <c r="D23" s="57"/>
      <c r="H23" s="27" t="s">
        <v>43</v>
      </c>
      <c r="I23" s="27" t="s">
        <v>44</v>
      </c>
      <c r="J23" s="27" t="s">
        <v>45</v>
      </c>
      <c r="K23" s="27" t="s">
        <v>46</v>
      </c>
      <c r="L23" s="27" t="s">
        <v>65</v>
      </c>
      <c r="M23" s="27" t="s">
        <v>66</v>
      </c>
      <c r="N23" s="27" t="s">
        <v>134</v>
      </c>
      <c r="O23" s="27" t="s">
        <v>135</v>
      </c>
      <c r="P23" s="27" t="s">
        <v>136</v>
      </c>
      <c r="Q23" s="27" t="s">
        <v>137</v>
      </c>
      <c r="R23" s="28" t="s">
        <v>138</v>
      </c>
      <c r="S23" s="28" t="s">
        <v>139</v>
      </c>
      <c r="T23" s="27" t="s">
        <v>140</v>
      </c>
      <c r="U23" s="27" t="s">
        <v>73</v>
      </c>
      <c r="V23" s="28" t="s">
        <v>141</v>
      </c>
    </row>
    <row r="24" spans="2:104" x14ac:dyDescent="0.25">
      <c r="B24" s="55"/>
      <c r="C24" s="56"/>
      <c r="D24" s="57"/>
      <c r="H24" s="27" t="s">
        <v>43</v>
      </c>
      <c r="I24" s="27" t="s">
        <v>44</v>
      </c>
      <c r="J24" s="27" t="s">
        <v>45</v>
      </c>
      <c r="K24" s="27" t="s">
        <v>46</v>
      </c>
      <c r="L24" s="27" t="s">
        <v>65</v>
      </c>
      <c r="M24" s="27" t="s">
        <v>66</v>
      </c>
      <c r="N24" s="27" t="s">
        <v>142</v>
      </c>
      <c r="O24" s="27" t="s">
        <v>143</v>
      </c>
      <c r="P24" s="27" t="s">
        <v>144</v>
      </c>
      <c r="Q24" s="27" t="s">
        <v>69</v>
      </c>
      <c r="R24" s="28" t="s">
        <v>145</v>
      </c>
      <c r="S24" s="28" t="s">
        <v>146</v>
      </c>
      <c r="T24" s="27" t="s">
        <v>54</v>
      </c>
      <c r="U24" s="27" t="s">
        <v>55</v>
      </c>
      <c r="V24" s="28" t="s">
        <v>147</v>
      </c>
    </row>
    <row r="25" spans="2:104" x14ac:dyDescent="0.25">
      <c r="B25" s="55"/>
      <c r="C25" s="56"/>
      <c r="D25" s="57"/>
      <c r="H25" s="27" t="s">
        <v>43</v>
      </c>
      <c r="I25" s="27" t="s">
        <v>44</v>
      </c>
      <c r="J25" s="27" t="s">
        <v>45</v>
      </c>
      <c r="K25" s="27" t="s">
        <v>46</v>
      </c>
      <c r="L25" s="27" t="s">
        <v>65</v>
      </c>
      <c r="M25" s="27" t="s">
        <v>148</v>
      </c>
      <c r="N25" s="27" t="s">
        <v>149</v>
      </c>
      <c r="O25" s="27" t="s">
        <v>61</v>
      </c>
      <c r="P25" s="27" t="s">
        <v>150</v>
      </c>
      <c r="Q25" s="27"/>
      <c r="R25" s="28" t="s">
        <v>151</v>
      </c>
      <c r="S25" s="28" t="s">
        <v>152</v>
      </c>
      <c r="T25" s="27" t="s">
        <v>72</v>
      </c>
      <c r="U25" s="27" t="s">
        <v>73</v>
      </c>
      <c r="V25" s="28"/>
    </row>
    <row r="26" spans="2:104" x14ac:dyDescent="0.25">
      <c r="B26" s="55"/>
      <c r="C26" s="56"/>
      <c r="D26" s="57"/>
      <c r="H26" s="27" t="s">
        <v>43</v>
      </c>
      <c r="I26" s="27" t="s">
        <v>44</v>
      </c>
      <c r="J26" s="27" t="s">
        <v>45</v>
      </c>
      <c r="K26" s="27" t="s">
        <v>46</v>
      </c>
      <c r="L26" s="27" t="s">
        <v>65</v>
      </c>
      <c r="M26" s="27" t="s">
        <v>148</v>
      </c>
      <c r="N26" s="27" t="s">
        <v>149</v>
      </c>
      <c r="O26" s="27" t="s">
        <v>61</v>
      </c>
      <c r="P26" s="27" t="s">
        <v>153</v>
      </c>
      <c r="Q26" s="27"/>
      <c r="R26" s="28" t="s">
        <v>154</v>
      </c>
      <c r="S26" s="28" t="s">
        <v>155</v>
      </c>
      <c r="T26" s="27" t="s">
        <v>72</v>
      </c>
      <c r="U26" s="27" t="s">
        <v>73</v>
      </c>
      <c r="V26" s="28"/>
    </row>
    <row r="27" spans="2:104" x14ac:dyDescent="0.25">
      <c r="B27" s="55"/>
      <c r="C27" s="56"/>
      <c r="D27" s="57"/>
      <c r="H27" s="27" t="s">
        <v>43</v>
      </c>
      <c r="I27" s="27" t="s">
        <v>44</v>
      </c>
      <c r="J27" s="27" t="s">
        <v>45</v>
      </c>
      <c r="K27" s="27" t="s">
        <v>46</v>
      </c>
      <c r="L27" s="27" t="s">
        <v>65</v>
      </c>
      <c r="M27" s="27" t="s">
        <v>66</v>
      </c>
      <c r="N27" s="27" t="s">
        <v>156</v>
      </c>
      <c r="O27" s="27" t="s">
        <v>157</v>
      </c>
      <c r="P27" s="27" t="s">
        <v>158</v>
      </c>
      <c r="Q27" s="27" t="s">
        <v>159</v>
      </c>
      <c r="R27" s="28" t="s">
        <v>160</v>
      </c>
      <c r="S27" s="28" t="s">
        <v>161</v>
      </c>
      <c r="T27" s="27" t="s">
        <v>88</v>
      </c>
      <c r="U27" s="27" t="s">
        <v>73</v>
      </c>
      <c r="V27" s="28" t="s">
        <v>141</v>
      </c>
    </row>
    <row r="28" spans="2:104" x14ac:dyDescent="0.25">
      <c r="B28" s="55"/>
      <c r="C28" s="56"/>
      <c r="D28" s="57"/>
      <c r="H28" s="27" t="s">
        <v>43</v>
      </c>
      <c r="I28" s="27" t="s">
        <v>44</v>
      </c>
      <c r="J28" s="27" t="s">
        <v>45</v>
      </c>
      <c r="K28" s="27" t="s">
        <v>46</v>
      </c>
      <c r="L28" s="27" t="s">
        <v>65</v>
      </c>
      <c r="M28" s="27" t="s">
        <v>66</v>
      </c>
      <c r="N28" s="27" t="s">
        <v>156</v>
      </c>
      <c r="O28" s="27" t="s">
        <v>157</v>
      </c>
      <c r="P28" s="27" t="s">
        <v>162</v>
      </c>
      <c r="Q28" s="27" t="s">
        <v>159</v>
      </c>
      <c r="R28" s="28" t="s">
        <v>163</v>
      </c>
      <c r="S28" s="28" t="s">
        <v>164</v>
      </c>
      <c r="T28" s="27" t="s">
        <v>88</v>
      </c>
      <c r="U28" s="27" t="s">
        <v>73</v>
      </c>
      <c r="V28" s="28" t="s">
        <v>141</v>
      </c>
    </row>
    <row r="29" spans="2:104" x14ac:dyDescent="0.25">
      <c r="B29" s="55"/>
      <c r="C29" s="56"/>
      <c r="D29" s="57"/>
      <c r="H29" s="27" t="s">
        <v>43</v>
      </c>
      <c r="I29" s="27" t="s">
        <v>44</v>
      </c>
      <c r="J29" s="27" t="s">
        <v>45</v>
      </c>
      <c r="K29" s="27" t="s">
        <v>46</v>
      </c>
      <c r="L29" s="27" t="s">
        <v>65</v>
      </c>
      <c r="M29" s="27" t="s">
        <v>66</v>
      </c>
      <c r="N29" s="27" t="s">
        <v>165</v>
      </c>
      <c r="O29" s="27" t="s">
        <v>166</v>
      </c>
      <c r="P29" s="27" t="s">
        <v>167</v>
      </c>
      <c r="Q29" s="27"/>
      <c r="R29" s="28" t="s">
        <v>168</v>
      </c>
      <c r="S29" s="28" t="s">
        <v>169</v>
      </c>
      <c r="T29" s="27" t="s">
        <v>88</v>
      </c>
      <c r="U29" s="27" t="s">
        <v>73</v>
      </c>
      <c r="V29" s="28" t="s">
        <v>89</v>
      </c>
    </row>
    <row r="30" spans="2:104" x14ac:dyDescent="0.25">
      <c r="B30" s="55"/>
      <c r="C30" s="56"/>
      <c r="D30" s="57"/>
      <c r="H30" s="27" t="s">
        <v>43</v>
      </c>
      <c r="I30" s="27" t="s">
        <v>44</v>
      </c>
      <c r="J30" s="27" t="s">
        <v>45</v>
      </c>
      <c r="K30" s="27" t="s">
        <v>46</v>
      </c>
      <c r="L30" s="27" t="s">
        <v>65</v>
      </c>
      <c r="M30" s="27" t="s">
        <v>148</v>
      </c>
      <c r="N30" s="27" t="s">
        <v>171</v>
      </c>
      <c r="O30" s="27" t="s">
        <v>50</v>
      </c>
      <c r="P30" s="27" t="s">
        <v>172</v>
      </c>
      <c r="Q30" s="27"/>
      <c r="R30" s="28" t="s">
        <v>173</v>
      </c>
      <c r="S30" s="28" t="s">
        <v>174</v>
      </c>
      <c r="T30" s="27" t="s">
        <v>72</v>
      </c>
      <c r="U30" s="27" t="s">
        <v>73</v>
      </c>
      <c r="V30" s="28"/>
    </row>
    <row r="31" spans="2:104" ht="15.75" thickBot="1" x14ac:dyDescent="0.3">
      <c r="B31" s="58"/>
      <c r="C31" s="59"/>
      <c r="D31" s="60"/>
      <c r="H31" s="27" t="s">
        <v>43</v>
      </c>
      <c r="I31" s="27" t="s">
        <v>44</v>
      </c>
      <c r="J31" s="27" t="s">
        <v>45</v>
      </c>
      <c r="K31" s="27" t="s">
        <v>46</v>
      </c>
      <c r="L31" s="27" t="s">
        <v>65</v>
      </c>
      <c r="M31" s="27" t="s">
        <v>66</v>
      </c>
      <c r="N31" s="27" t="s">
        <v>175</v>
      </c>
      <c r="O31" s="27" t="s">
        <v>176</v>
      </c>
      <c r="P31" s="27" t="s">
        <v>177</v>
      </c>
      <c r="Q31" s="27" t="s">
        <v>137</v>
      </c>
      <c r="R31" s="28" t="s">
        <v>178</v>
      </c>
      <c r="S31" s="28" t="s">
        <v>179</v>
      </c>
      <c r="T31" s="27" t="s">
        <v>140</v>
      </c>
      <c r="U31" s="27" t="s">
        <v>73</v>
      </c>
      <c r="V31" s="28" t="s">
        <v>141</v>
      </c>
    </row>
    <row r="32" spans="2:104" ht="15.75" thickBot="1" x14ac:dyDescent="0.3">
      <c r="H32" s="27" t="s">
        <v>43</v>
      </c>
      <c r="I32" s="27" t="s">
        <v>44</v>
      </c>
      <c r="J32" s="27" t="s">
        <v>45</v>
      </c>
      <c r="K32" s="27" t="s">
        <v>46</v>
      </c>
      <c r="L32" s="27" t="s">
        <v>65</v>
      </c>
      <c r="M32" s="27" t="s">
        <v>57</v>
      </c>
      <c r="N32" s="27" t="s">
        <v>58</v>
      </c>
      <c r="O32" s="27" t="s">
        <v>180</v>
      </c>
      <c r="P32" s="27" t="s">
        <v>144</v>
      </c>
      <c r="Q32" s="27"/>
      <c r="R32" s="28" t="s">
        <v>181</v>
      </c>
      <c r="S32" s="28" t="s">
        <v>182</v>
      </c>
      <c r="T32" s="27" t="s">
        <v>54</v>
      </c>
      <c r="U32" s="27" t="s">
        <v>55</v>
      </c>
      <c r="V32" s="28"/>
    </row>
    <row r="33" spans="2:22" x14ac:dyDescent="0.25">
      <c r="B33" s="43"/>
      <c r="C33" s="44" t="s">
        <v>170</v>
      </c>
      <c r="D33" s="45"/>
      <c r="H33" s="27" t="s">
        <v>43</v>
      </c>
      <c r="I33" s="27" t="s">
        <v>44</v>
      </c>
      <c r="J33" s="27" t="s">
        <v>45</v>
      </c>
      <c r="K33" s="27" t="s">
        <v>46</v>
      </c>
      <c r="L33" s="27" t="s">
        <v>183</v>
      </c>
      <c r="M33" s="27" t="s">
        <v>184</v>
      </c>
      <c r="N33" s="27" t="s">
        <v>67</v>
      </c>
      <c r="O33" s="27" t="s">
        <v>59</v>
      </c>
      <c r="P33" s="27" t="s">
        <v>68</v>
      </c>
      <c r="Q33" s="27" t="s">
        <v>69</v>
      </c>
      <c r="R33" s="28" t="s">
        <v>185</v>
      </c>
      <c r="S33" s="28" t="s">
        <v>186</v>
      </c>
      <c r="T33" s="27" t="s">
        <v>187</v>
      </c>
      <c r="U33" s="27" t="s">
        <v>73</v>
      </c>
      <c r="V33" s="28" t="s">
        <v>188</v>
      </c>
    </row>
    <row r="34" spans="2:22" x14ac:dyDescent="0.25">
      <c r="B34" s="46"/>
      <c r="C34" s="47"/>
      <c r="D34" s="48"/>
      <c r="H34" s="27" t="s">
        <v>43</v>
      </c>
      <c r="I34" s="27" t="s">
        <v>44</v>
      </c>
      <c r="J34" s="27" t="s">
        <v>45</v>
      </c>
      <c r="K34" s="27" t="s">
        <v>46</v>
      </c>
      <c r="L34" s="27" t="s">
        <v>183</v>
      </c>
      <c r="M34" s="27" t="s">
        <v>184</v>
      </c>
      <c r="N34" s="27" t="s">
        <v>76</v>
      </c>
      <c r="O34" s="27" t="s">
        <v>77</v>
      </c>
      <c r="P34" s="27" t="s">
        <v>78</v>
      </c>
      <c r="Q34" s="27" t="s">
        <v>69</v>
      </c>
      <c r="R34" s="28" t="s">
        <v>189</v>
      </c>
      <c r="S34" s="28" t="s">
        <v>190</v>
      </c>
      <c r="T34" s="27" t="s">
        <v>187</v>
      </c>
      <c r="U34" s="27" t="s">
        <v>73</v>
      </c>
      <c r="V34" s="28" t="s">
        <v>188</v>
      </c>
    </row>
    <row r="35" spans="2:22" x14ac:dyDescent="0.25">
      <c r="B35" s="46"/>
      <c r="C35" s="47"/>
      <c r="D35" s="48"/>
      <c r="H35" s="27" t="s">
        <v>43</v>
      </c>
      <c r="I35" s="27" t="s">
        <v>44</v>
      </c>
      <c r="J35" s="27" t="s">
        <v>45</v>
      </c>
      <c r="K35" s="27" t="s">
        <v>46</v>
      </c>
      <c r="L35" s="27" t="s">
        <v>183</v>
      </c>
      <c r="M35" s="27" t="s">
        <v>184</v>
      </c>
      <c r="N35" s="27" t="s">
        <v>82</v>
      </c>
      <c r="O35" s="27" t="s">
        <v>83</v>
      </c>
      <c r="P35" s="27" t="s">
        <v>84</v>
      </c>
      <c r="Q35" s="27" t="s">
        <v>85</v>
      </c>
      <c r="R35" s="28" t="s">
        <v>191</v>
      </c>
      <c r="S35" s="28" t="s">
        <v>192</v>
      </c>
      <c r="T35" s="27" t="s">
        <v>193</v>
      </c>
      <c r="U35" s="27" t="s">
        <v>73</v>
      </c>
      <c r="V35" s="28" t="s">
        <v>194</v>
      </c>
    </row>
    <row r="36" spans="2:22" ht="15.75" thickBot="1" x14ac:dyDescent="0.3">
      <c r="B36" s="49"/>
      <c r="C36" s="50"/>
      <c r="D36" s="51"/>
      <c r="H36" s="27" t="s">
        <v>43</v>
      </c>
      <c r="I36" s="27" t="s">
        <v>44</v>
      </c>
      <c r="J36" s="27" t="s">
        <v>45</v>
      </c>
      <c r="K36" s="27" t="s">
        <v>46</v>
      </c>
      <c r="L36" s="27" t="s">
        <v>183</v>
      </c>
      <c r="M36" s="27" t="s">
        <v>184</v>
      </c>
      <c r="N36" s="27" t="s">
        <v>82</v>
      </c>
      <c r="O36" s="27" t="s">
        <v>83</v>
      </c>
      <c r="P36" s="27" t="s">
        <v>84</v>
      </c>
      <c r="Q36" s="27" t="s">
        <v>91</v>
      </c>
      <c r="R36" s="28" t="s">
        <v>195</v>
      </c>
      <c r="S36" s="28" t="s">
        <v>196</v>
      </c>
      <c r="T36" s="27" t="s">
        <v>193</v>
      </c>
      <c r="U36" s="27" t="s">
        <v>73</v>
      </c>
      <c r="V36" s="28" t="s">
        <v>194</v>
      </c>
    </row>
    <row r="37" spans="2:22" x14ac:dyDescent="0.25">
      <c r="H37" s="27" t="s">
        <v>43</v>
      </c>
      <c r="I37" s="27" t="s">
        <v>44</v>
      </c>
      <c r="J37" s="27" t="s">
        <v>45</v>
      </c>
      <c r="K37" s="27" t="s">
        <v>46</v>
      </c>
      <c r="L37" s="27" t="s">
        <v>183</v>
      </c>
      <c r="M37" s="27" t="s">
        <v>184</v>
      </c>
      <c r="N37" s="27" t="s">
        <v>82</v>
      </c>
      <c r="O37" s="27" t="s">
        <v>83</v>
      </c>
      <c r="P37" s="27" t="s">
        <v>84</v>
      </c>
      <c r="Q37" s="27" t="s">
        <v>95</v>
      </c>
      <c r="R37" s="28" t="s">
        <v>197</v>
      </c>
      <c r="S37" s="28" t="s">
        <v>198</v>
      </c>
      <c r="T37" s="27" t="s">
        <v>193</v>
      </c>
      <c r="U37" s="27" t="s">
        <v>73</v>
      </c>
      <c r="V37" s="28" t="s">
        <v>194</v>
      </c>
    </row>
    <row r="38" spans="2:22" x14ac:dyDescent="0.25">
      <c r="H38" s="27" t="s">
        <v>43</v>
      </c>
      <c r="I38" s="27" t="s">
        <v>44</v>
      </c>
      <c r="J38" s="27" t="s">
        <v>45</v>
      </c>
      <c r="K38" s="27" t="s">
        <v>46</v>
      </c>
      <c r="L38" s="27" t="s">
        <v>183</v>
      </c>
      <c r="M38" s="27" t="s">
        <v>184</v>
      </c>
      <c r="N38" s="27" t="s">
        <v>82</v>
      </c>
      <c r="O38" s="27" t="s">
        <v>83</v>
      </c>
      <c r="P38" s="27" t="s">
        <v>84</v>
      </c>
      <c r="Q38" s="27" t="s">
        <v>99</v>
      </c>
      <c r="R38" s="28" t="s">
        <v>199</v>
      </c>
      <c r="S38" s="28" t="s">
        <v>200</v>
      </c>
      <c r="T38" s="27" t="s">
        <v>193</v>
      </c>
      <c r="U38" s="27" t="s">
        <v>73</v>
      </c>
      <c r="V38" s="28" t="s">
        <v>194</v>
      </c>
    </row>
    <row r="39" spans="2:22" x14ac:dyDescent="0.25">
      <c r="H39" s="27" t="s">
        <v>43</v>
      </c>
      <c r="I39" s="27" t="s">
        <v>44</v>
      </c>
      <c r="J39" s="27" t="s">
        <v>45</v>
      </c>
      <c r="K39" s="27" t="s">
        <v>46</v>
      </c>
      <c r="L39" s="27" t="s">
        <v>183</v>
      </c>
      <c r="M39" s="27" t="s">
        <v>184</v>
      </c>
      <c r="N39" s="27" t="s">
        <v>82</v>
      </c>
      <c r="O39" s="27" t="s">
        <v>83</v>
      </c>
      <c r="P39" s="27" t="s">
        <v>84</v>
      </c>
      <c r="Q39" s="27" t="s">
        <v>69</v>
      </c>
      <c r="R39" s="28" t="s">
        <v>201</v>
      </c>
      <c r="S39" s="28" t="s">
        <v>202</v>
      </c>
      <c r="T39" s="27" t="s">
        <v>193</v>
      </c>
      <c r="U39" s="27" t="s">
        <v>73</v>
      </c>
      <c r="V39" s="28" t="s">
        <v>194</v>
      </c>
    </row>
    <row r="40" spans="2:22" x14ac:dyDescent="0.25">
      <c r="H40" s="27" t="s">
        <v>43</v>
      </c>
      <c r="I40" s="27" t="s">
        <v>44</v>
      </c>
      <c r="J40" s="27" t="s">
        <v>45</v>
      </c>
      <c r="K40" s="27" t="s">
        <v>46</v>
      </c>
      <c r="L40" s="27" t="s">
        <v>183</v>
      </c>
      <c r="M40" s="27" t="s">
        <v>184</v>
      </c>
      <c r="N40" s="27" t="s">
        <v>82</v>
      </c>
      <c r="O40" s="27" t="s">
        <v>83</v>
      </c>
      <c r="P40" s="27" t="s">
        <v>106</v>
      </c>
      <c r="Q40" s="27" t="s">
        <v>85</v>
      </c>
      <c r="R40" s="28" t="s">
        <v>203</v>
      </c>
      <c r="S40" s="28" t="s">
        <v>204</v>
      </c>
      <c r="T40" s="27" t="s">
        <v>193</v>
      </c>
      <c r="U40" s="27" t="s">
        <v>73</v>
      </c>
      <c r="V40" s="28" t="s">
        <v>194</v>
      </c>
    </row>
    <row r="41" spans="2:22" x14ac:dyDescent="0.25">
      <c r="H41" s="27" t="s">
        <v>43</v>
      </c>
      <c r="I41" s="27" t="s">
        <v>44</v>
      </c>
      <c r="J41" s="27" t="s">
        <v>45</v>
      </c>
      <c r="K41" s="27" t="s">
        <v>46</v>
      </c>
      <c r="L41" s="27" t="s">
        <v>183</v>
      </c>
      <c r="M41" s="27" t="s">
        <v>184</v>
      </c>
      <c r="N41" s="27" t="s">
        <v>82</v>
      </c>
      <c r="O41" s="27" t="s">
        <v>83</v>
      </c>
      <c r="P41" s="27" t="s">
        <v>106</v>
      </c>
      <c r="Q41" s="27" t="s">
        <v>91</v>
      </c>
      <c r="R41" s="28" t="s">
        <v>205</v>
      </c>
      <c r="S41" s="28" t="s">
        <v>206</v>
      </c>
      <c r="T41" s="27" t="s">
        <v>193</v>
      </c>
      <c r="U41" s="27" t="s">
        <v>73</v>
      </c>
      <c r="V41" s="28" t="s">
        <v>194</v>
      </c>
    </row>
    <row r="42" spans="2:22" x14ac:dyDescent="0.25">
      <c r="H42" s="27" t="s">
        <v>43</v>
      </c>
      <c r="I42" s="27" t="s">
        <v>44</v>
      </c>
      <c r="J42" s="27" t="s">
        <v>45</v>
      </c>
      <c r="K42" s="27" t="s">
        <v>46</v>
      </c>
      <c r="L42" s="27" t="s">
        <v>183</v>
      </c>
      <c r="M42" s="27" t="s">
        <v>184</v>
      </c>
      <c r="N42" s="27" t="s">
        <v>82</v>
      </c>
      <c r="O42" s="27" t="s">
        <v>83</v>
      </c>
      <c r="P42" s="27" t="s">
        <v>106</v>
      </c>
      <c r="Q42" s="27" t="s">
        <v>95</v>
      </c>
      <c r="R42" s="28" t="s">
        <v>207</v>
      </c>
      <c r="S42" s="28" t="s">
        <v>208</v>
      </c>
      <c r="T42" s="27" t="s">
        <v>193</v>
      </c>
      <c r="U42" s="27" t="s">
        <v>73</v>
      </c>
      <c r="V42" s="28" t="s">
        <v>194</v>
      </c>
    </row>
    <row r="43" spans="2:22" x14ac:dyDescent="0.25">
      <c r="H43" s="27" t="s">
        <v>43</v>
      </c>
      <c r="I43" s="27" t="s">
        <v>44</v>
      </c>
      <c r="J43" s="27" t="s">
        <v>45</v>
      </c>
      <c r="K43" s="27" t="s">
        <v>46</v>
      </c>
      <c r="L43" s="27" t="s">
        <v>183</v>
      </c>
      <c r="M43" s="27" t="s">
        <v>184</v>
      </c>
      <c r="N43" s="27" t="s">
        <v>82</v>
      </c>
      <c r="O43" s="27" t="s">
        <v>83</v>
      </c>
      <c r="P43" s="27" t="s">
        <v>106</v>
      </c>
      <c r="Q43" s="27" t="s">
        <v>99</v>
      </c>
      <c r="R43" s="28" t="s">
        <v>209</v>
      </c>
      <c r="S43" s="28" t="s">
        <v>210</v>
      </c>
      <c r="T43" s="27" t="s">
        <v>193</v>
      </c>
      <c r="U43" s="27" t="s">
        <v>73</v>
      </c>
      <c r="V43" s="28" t="s">
        <v>194</v>
      </c>
    </row>
    <row r="44" spans="2:22" x14ac:dyDescent="0.25">
      <c r="H44" s="27" t="s">
        <v>43</v>
      </c>
      <c r="I44" s="27" t="s">
        <v>44</v>
      </c>
      <c r="J44" s="27" t="s">
        <v>45</v>
      </c>
      <c r="K44" s="27" t="s">
        <v>46</v>
      </c>
      <c r="L44" s="27" t="s">
        <v>183</v>
      </c>
      <c r="M44" s="27" t="s">
        <v>184</v>
      </c>
      <c r="N44" s="27" t="s">
        <v>82</v>
      </c>
      <c r="O44" s="27" t="s">
        <v>83</v>
      </c>
      <c r="P44" s="27" t="s">
        <v>106</v>
      </c>
      <c r="Q44" s="27" t="s">
        <v>69</v>
      </c>
      <c r="R44" s="28" t="s">
        <v>211</v>
      </c>
      <c r="S44" s="28" t="s">
        <v>212</v>
      </c>
      <c r="T44" s="27" t="s">
        <v>193</v>
      </c>
      <c r="U44" s="27" t="s">
        <v>73</v>
      </c>
      <c r="V44" s="28" t="s">
        <v>194</v>
      </c>
    </row>
    <row r="45" spans="2:22" x14ac:dyDescent="0.25">
      <c r="H45" s="27" t="s">
        <v>43</v>
      </c>
      <c r="I45" s="27" t="s">
        <v>44</v>
      </c>
      <c r="J45" s="27" t="s">
        <v>45</v>
      </c>
      <c r="K45" s="27" t="s">
        <v>46</v>
      </c>
      <c r="L45" s="27" t="s">
        <v>183</v>
      </c>
      <c r="M45" s="27" t="s">
        <v>184</v>
      </c>
      <c r="N45" s="27" t="s">
        <v>121</v>
      </c>
      <c r="O45" s="27" t="s">
        <v>83</v>
      </c>
      <c r="P45" s="27" t="s">
        <v>122</v>
      </c>
      <c r="Q45" s="27" t="s">
        <v>123</v>
      </c>
      <c r="R45" s="28" t="s">
        <v>213</v>
      </c>
      <c r="S45" s="28" t="s">
        <v>214</v>
      </c>
      <c r="T45" s="27" t="s">
        <v>187</v>
      </c>
      <c r="U45" s="27" t="s">
        <v>73</v>
      </c>
      <c r="V45" s="28" t="s">
        <v>188</v>
      </c>
    </row>
    <row r="46" spans="2:22" x14ac:dyDescent="0.25">
      <c r="H46" s="27" t="s">
        <v>43</v>
      </c>
      <c r="I46" s="27" t="s">
        <v>44</v>
      </c>
      <c r="J46" s="27" t="s">
        <v>45</v>
      </c>
      <c r="K46" s="27" t="s">
        <v>46</v>
      </c>
      <c r="L46" s="27" t="s">
        <v>183</v>
      </c>
      <c r="M46" s="27" t="s">
        <v>184</v>
      </c>
      <c r="N46" s="27" t="s">
        <v>121</v>
      </c>
      <c r="O46" s="27" t="s">
        <v>83</v>
      </c>
      <c r="P46" s="27" t="s">
        <v>122</v>
      </c>
      <c r="Q46" s="27" t="s">
        <v>85</v>
      </c>
      <c r="R46" s="28" t="s">
        <v>215</v>
      </c>
      <c r="S46" s="28" t="s">
        <v>216</v>
      </c>
      <c r="T46" s="27" t="s">
        <v>187</v>
      </c>
      <c r="U46" s="27" t="s">
        <v>73</v>
      </c>
      <c r="V46" s="28" t="s">
        <v>188</v>
      </c>
    </row>
    <row r="47" spans="2:22" x14ac:dyDescent="0.25">
      <c r="H47" s="27" t="s">
        <v>43</v>
      </c>
      <c r="I47" s="27" t="s">
        <v>44</v>
      </c>
      <c r="J47" s="27" t="s">
        <v>45</v>
      </c>
      <c r="K47" s="27" t="s">
        <v>46</v>
      </c>
      <c r="L47" s="27" t="s">
        <v>183</v>
      </c>
      <c r="M47" s="27" t="s">
        <v>184</v>
      </c>
      <c r="N47" s="27" t="s">
        <v>121</v>
      </c>
      <c r="O47" s="27" t="s">
        <v>83</v>
      </c>
      <c r="P47" s="27" t="s">
        <v>122</v>
      </c>
      <c r="Q47" s="27" t="s">
        <v>95</v>
      </c>
      <c r="R47" s="28" t="s">
        <v>217</v>
      </c>
      <c r="S47" s="28" t="s">
        <v>218</v>
      </c>
      <c r="T47" s="27" t="s">
        <v>187</v>
      </c>
      <c r="U47" s="27" t="s">
        <v>73</v>
      </c>
      <c r="V47" s="28" t="s">
        <v>188</v>
      </c>
    </row>
    <row r="48" spans="2:22" x14ac:dyDescent="0.25">
      <c r="H48" s="27" t="s">
        <v>43</v>
      </c>
      <c r="I48" s="27" t="s">
        <v>44</v>
      </c>
      <c r="J48" s="27" t="s">
        <v>45</v>
      </c>
      <c r="K48" s="27" t="s">
        <v>46</v>
      </c>
      <c r="L48" s="27" t="s">
        <v>183</v>
      </c>
      <c r="M48" s="27" t="s">
        <v>184</v>
      </c>
      <c r="N48" s="27" t="s">
        <v>121</v>
      </c>
      <c r="O48" s="27" t="s">
        <v>83</v>
      </c>
      <c r="P48" s="27" t="s">
        <v>122</v>
      </c>
      <c r="Q48" s="27" t="s">
        <v>99</v>
      </c>
      <c r="R48" s="28" t="s">
        <v>219</v>
      </c>
      <c r="S48" s="28" t="s">
        <v>220</v>
      </c>
      <c r="T48" s="27" t="s">
        <v>187</v>
      </c>
      <c r="U48" s="27" t="s">
        <v>73</v>
      </c>
      <c r="V48" s="28" t="s">
        <v>188</v>
      </c>
    </row>
    <row r="49" spans="8:22" x14ac:dyDescent="0.25">
      <c r="H49" s="27" t="s">
        <v>43</v>
      </c>
      <c r="I49" s="27" t="s">
        <v>44</v>
      </c>
      <c r="J49" s="27" t="s">
        <v>45</v>
      </c>
      <c r="K49" s="27" t="s">
        <v>46</v>
      </c>
      <c r="L49" s="27" t="s">
        <v>183</v>
      </c>
      <c r="M49" s="27" t="s">
        <v>184</v>
      </c>
      <c r="N49" s="27" t="s">
        <v>121</v>
      </c>
      <c r="O49" s="27" t="s">
        <v>83</v>
      </c>
      <c r="P49" s="27" t="s">
        <v>122</v>
      </c>
      <c r="Q49" s="27" t="s">
        <v>69</v>
      </c>
      <c r="R49" s="28" t="s">
        <v>221</v>
      </c>
      <c r="S49" s="28" t="s">
        <v>222</v>
      </c>
      <c r="T49" s="27" t="s">
        <v>187</v>
      </c>
      <c r="U49" s="27" t="s">
        <v>73</v>
      </c>
      <c r="V49" s="28" t="s">
        <v>188</v>
      </c>
    </row>
    <row r="50" spans="8:22" x14ac:dyDescent="0.25">
      <c r="H50" s="27" t="s">
        <v>43</v>
      </c>
      <c r="I50" s="27" t="s">
        <v>44</v>
      </c>
      <c r="J50" s="27" t="s">
        <v>45</v>
      </c>
      <c r="K50" s="27" t="s">
        <v>46</v>
      </c>
      <c r="L50" s="27" t="s">
        <v>183</v>
      </c>
      <c r="M50" s="27" t="s">
        <v>184</v>
      </c>
      <c r="N50" s="27" t="s">
        <v>134</v>
      </c>
      <c r="O50" s="27" t="s">
        <v>135</v>
      </c>
      <c r="P50" s="27" t="s">
        <v>136</v>
      </c>
      <c r="Q50" s="27" t="s">
        <v>137</v>
      </c>
      <c r="R50" s="28" t="s">
        <v>223</v>
      </c>
      <c r="S50" s="28" t="s">
        <v>224</v>
      </c>
      <c r="T50" s="27" t="s">
        <v>140</v>
      </c>
      <c r="U50" s="27" t="s">
        <v>73</v>
      </c>
      <c r="V50" s="28" t="s">
        <v>225</v>
      </c>
    </row>
    <row r="51" spans="8:22" x14ac:dyDescent="0.25">
      <c r="H51" s="27" t="s">
        <v>43</v>
      </c>
      <c r="I51" s="27" t="s">
        <v>44</v>
      </c>
      <c r="J51" s="27" t="s">
        <v>45</v>
      </c>
      <c r="K51" s="27" t="s">
        <v>46</v>
      </c>
      <c r="L51" s="27" t="s">
        <v>183</v>
      </c>
      <c r="M51" s="27" t="s">
        <v>184</v>
      </c>
      <c r="N51" s="27" t="s">
        <v>142</v>
      </c>
      <c r="O51" s="27" t="s">
        <v>143</v>
      </c>
      <c r="P51" s="27" t="s">
        <v>226</v>
      </c>
      <c r="Q51" s="27" t="s">
        <v>69</v>
      </c>
      <c r="R51" s="28" t="s">
        <v>227</v>
      </c>
      <c r="S51" s="28" t="s">
        <v>228</v>
      </c>
      <c r="T51" s="27" t="s">
        <v>54</v>
      </c>
      <c r="U51" s="27" t="s">
        <v>55</v>
      </c>
      <c r="V51" s="28" t="s">
        <v>229</v>
      </c>
    </row>
    <row r="52" spans="8:22" x14ac:dyDescent="0.25">
      <c r="H52" s="27" t="s">
        <v>43</v>
      </c>
      <c r="I52" s="27" t="s">
        <v>44</v>
      </c>
      <c r="J52" s="27" t="s">
        <v>45</v>
      </c>
      <c r="K52" s="27" t="s">
        <v>46</v>
      </c>
      <c r="L52" s="27" t="s">
        <v>183</v>
      </c>
      <c r="M52" s="27" t="s">
        <v>184</v>
      </c>
      <c r="N52" s="27" t="s">
        <v>156</v>
      </c>
      <c r="O52" s="27" t="s">
        <v>157</v>
      </c>
      <c r="P52" s="27" t="s">
        <v>158</v>
      </c>
      <c r="Q52" s="27" t="s">
        <v>159</v>
      </c>
      <c r="R52" s="28" t="s">
        <v>230</v>
      </c>
      <c r="S52" s="28" t="s">
        <v>231</v>
      </c>
      <c r="T52" s="27" t="s">
        <v>193</v>
      </c>
      <c r="U52" s="27" t="s">
        <v>73</v>
      </c>
      <c r="V52" s="28" t="s">
        <v>225</v>
      </c>
    </row>
    <row r="53" spans="8:22" x14ac:dyDescent="0.25">
      <c r="H53" s="27" t="s">
        <v>43</v>
      </c>
      <c r="I53" s="27" t="s">
        <v>44</v>
      </c>
      <c r="J53" s="27" t="s">
        <v>45</v>
      </c>
      <c r="K53" s="27" t="s">
        <v>46</v>
      </c>
      <c r="L53" s="27" t="s">
        <v>183</v>
      </c>
      <c r="M53" s="27" t="s">
        <v>184</v>
      </c>
      <c r="N53" s="27" t="s">
        <v>156</v>
      </c>
      <c r="O53" s="27" t="s">
        <v>157</v>
      </c>
      <c r="P53" s="27" t="s">
        <v>162</v>
      </c>
      <c r="Q53" s="27" t="s">
        <v>159</v>
      </c>
      <c r="R53" s="28" t="s">
        <v>232</v>
      </c>
      <c r="S53" s="28" t="s">
        <v>233</v>
      </c>
      <c r="T53" s="27" t="s">
        <v>193</v>
      </c>
      <c r="U53" s="27" t="s">
        <v>73</v>
      </c>
      <c r="V53" s="28" t="s">
        <v>225</v>
      </c>
    </row>
    <row r="54" spans="8:22" x14ac:dyDescent="0.25">
      <c r="H54" s="27" t="s">
        <v>43</v>
      </c>
      <c r="I54" s="27" t="s">
        <v>44</v>
      </c>
      <c r="J54" s="27" t="s">
        <v>45</v>
      </c>
      <c r="K54" s="27" t="s">
        <v>46</v>
      </c>
      <c r="L54" s="27" t="s">
        <v>183</v>
      </c>
      <c r="M54" s="27" t="s">
        <v>184</v>
      </c>
      <c r="N54" s="27" t="s">
        <v>165</v>
      </c>
      <c r="O54" s="27" t="s">
        <v>166</v>
      </c>
      <c r="P54" s="27" t="s">
        <v>167</v>
      </c>
      <c r="Q54" s="27"/>
      <c r="R54" s="28" t="s">
        <v>234</v>
      </c>
      <c r="S54" s="28" t="s">
        <v>235</v>
      </c>
      <c r="T54" s="27" t="s">
        <v>193</v>
      </c>
      <c r="U54" s="27" t="s">
        <v>73</v>
      </c>
      <c r="V54" s="28" t="s">
        <v>194</v>
      </c>
    </row>
    <row r="55" spans="8:22" x14ac:dyDescent="0.25">
      <c r="H55" s="27" t="s">
        <v>43</v>
      </c>
      <c r="I55" s="27" t="s">
        <v>44</v>
      </c>
      <c r="J55" s="27" t="s">
        <v>45</v>
      </c>
      <c r="K55" s="27" t="s">
        <v>46</v>
      </c>
      <c r="L55" s="27" t="s">
        <v>183</v>
      </c>
      <c r="M55" s="27" t="s">
        <v>184</v>
      </c>
      <c r="N55" s="27" t="s">
        <v>175</v>
      </c>
      <c r="O55" s="27" t="s">
        <v>176</v>
      </c>
      <c r="P55" s="27" t="s">
        <v>177</v>
      </c>
      <c r="Q55" s="27" t="s">
        <v>137</v>
      </c>
      <c r="R55" s="28" t="s">
        <v>236</v>
      </c>
      <c r="S55" s="28" t="s">
        <v>237</v>
      </c>
      <c r="T55" s="27" t="s">
        <v>140</v>
      </c>
      <c r="U55" s="27" t="s">
        <v>73</v>
      </c>
      <c r="V55" s="28" t="s">
        <v>225</v>
      </c>
    </row>
    <row r="56" spans="8:22" x14ac:dyDescent="0.25">
      <c r="H56" s="27" t="s">
        <v>43</v>
      </c>
      <c r="I56" s="27" t="s">
        <v>44</v>
      </c>
      <c r="J56" s="27" t="s">
        <v>45</v>
      </c>
      <c r="K56" s="27" t="s">
        <v>46</v>
      </c>
      <c r="L56" s="27" t="s">
        <v>238</v>
      </c>
      <c r="M56" s="27" t="s">
        <v>239</v>
      </c>
      <c r="N56" s="27" t="s">
        <v>240</v>
      </c>
      <c r="O56" s="27" t="s">
        <v>180</v>
      </c>
      <c r="P56" s="27" t="s">
        <v>241</v>
      </c>
      <c r="Q56" s="27"/>
      <c r="R56" s="28" t="s">
        <v>242</v>
      </c>
      <c r="S56" s="28" t="s">
        <v>243</v>
      </c>
      <c r="T56" s="27" t="s">
        <v>54</v>
      </c>
      <c r="U56" s="27" t="s">
        <v>55</v>
      </c>
      <c r="V56" s="28"/>
    </row>
    <row r="57" spans="8:22" x14ac:dyDescent="0.25">
      <c r="H57" s="27" t="s">
        <v>43</v>
      </c>
      <c r="I57" s="27" t="s">
        <v>44</v>
      </c>
      <c r="J57" s="27" t="s">
        <v>45</v>
      </c>
      <c r="K57" s="27" t="s">
        <v>46</v>
      </c>
      <c r="L57" s="27" t="s">
        <v>238</v>
      </c>
      <c r="M57" s="27" t="s">
        <v>48</v>
      </c>
      <c r="N57" s="27" t="s">
        <v>240</v>
      </c>
      <c r="O57" s="27" t="s">
        <v>180</v>
      </c>
      <c r="P57" s="27" t="s">
        <v>244</v>
      </c>
      <c r="Q57" s="27"/>
      <c r="R57" s="28" t="s">
        <v>245</v>
      </c>
      <c r="S57" s="28" t="s">
        <v>246</v>
      </c>
      <c r="T57" s="27" t="s">
        <v>54</v>
      </c>
      <c r="U57" s="27" t="s">
        <v>55</v>
      </c>
      <c r="V57" s="28"/>
    </row>
    <row r="58" spans="8:22" x14ac:dyDescent="0.25">
      <c r="H58" s="27" t="s">
        <v>247</v>
      </c>
      <c r="I58" s="27" t="s">
        <v>44</v>
      </c>
      <c r="J58" s="27" t="s">
        <v>45</v>
      </c>
      <c r="K58" s="27" t="s">
        <v>46</v>
      </c>
      <c r="L58" s="27" t="s">
        <v>56</v>
      </c>
      <c r="M58" s="27" t="s">
        <v>248</v>
      </c>
      <c r="N58" s="27" t="s">
        <v>249</v>
      </c>
      <c r="O58" s="27" t="s">
        <v>250</v>
      </c>
      <c r="P58" s="27" t="s">
        <v>60</v>
      </c>
      <c r="Q58" s="27"/>
      <c r="R58" s="28" t="s">
        <v>251</v>
      </c>
      <c r="S58" s="28" t="s">
        <v>252</v>
      </c>
      <c r="T58" s="27" t="s">
        <v>24</v>
      </c>
      <c r="U58" s="27" t="s">
        <v>55</v>
      </c>
      <c r="V58" s="28" t="s">
        <v>253</v>
      </c>
    </row>
    <row r="59" spans="8:22" x14ac:dyDescent="0.25">
      <c r="H59" s="27" t="s">
        <v>247</v>
      </c>
      <c r="I59" s="27" t="s">
        <v>44</v>
      </c>
      <c r="J59" s="27" t="s">
        <v>45</v>
      </c>
      <c r="K59" s="27" t="s">
        <v>46</v>
      </c>
      <c r="L59" s="27" t="s">
        <v>65</v>
      </c>
      <c r="M59" s="27" t="s">
        <v>66</v>
      </c>
      <c r="N59" s="27" t="s">
        <v>165</v>
      </c>
      <c r="O59" s="27" t="s">
        <v>254</v>
      </c>
      <c r="P59" s="27" t="s">
        <v>255</v>
      </c>
      <c r="Q59" s="27"/>
      <c r="R59" s="28" t="s">
        <v>256</v>
      </c>
      <c r="S59" s="28" t="s">
        <v>257</v>
      </c>
      <c r="T59" s="27" t="s">
        <v>72</v>
      </c>
      <c r="U59" s="27" t="s">
        <v>73</v>
      </c>
      <c r="V59" s="28" t="s">
        <v>74</v>
      </c>
    </row>
    <row r="60" spans="8:22" x14ac:dyDescent="0.25">
      <c r="H60" s="27" t="s">
        <v>247</v>
      </c>
      <c r="I60" s="27" t="s">
        <v>44</v>
      </c>
      <c r="J60" s="27" t="s">
        <v>45</v>
      </c>
      <c r="K60" s="27" t="s">
        <v>46</v>
      </c>
      <c r="L60" s="27" t="s">
        <v>65</v>
      </c>
      <c r="M60" s="27" t="s">
        <v>66</v>
      </c>
      <c r="N60" s="27" t="s">
        <v>258</v>
      </c>
      <c r="O60" s="27" t="s">
        <v>250</v>
      </c>
      <c r="P60" s="27" t="s">
        <v>259</v>
      </c>
      <c r="Q60" s="27"/>
      <c r="R60" s="28" t="s">
        <v>260</v>
      </c>
      <c r="S60" s="28" t="s">
        <v>261</v>
      </c>
      <c r="T60" s="27" t="s">
        <v>72</v>
      </c>
      <c r="U60" s="27" t="s">
        <v>73</v>
      </c>
      <c r="V60" s="28" t="s">
        <v>74</v>
      </c>
    </row>
    <row r="61" spans="8:22" x14ac:dyDescent="0.25">
      <c r="H61" s="27" t="s">
        <v>247</v>
      </c>
      <c r="I61" s="27" t="s">
        <v>44</v>
      </c>
      <c r="J61" s="27" t="s">
        <v>45</v>
      </c>
      <c r="K61" s="27" t="s">
        <v>46</v>
      </c>
      <c r="L61" s="27" t="s">
        <v>65</v>
      </c>
      <c r="M61" s="27" t="s">
        <v>66</v>
      </c>
      <c r="N61" s="27" t="s">
        <v>258</v>
      </c>
      <c r="O61" s="27" t="s">
        <v>250</v>
      </c>
      <c r="P61" s="27" t="s">
        <v>262</v>
      </c>
      <c r="Q61" s="27"/>
      <c r="R61" s="28" t="s">
        <v>263</v>
      </c>
      <c r="S61" s="28" t="s">
        <v>264</v>
      </c>
      <c r="T61" s="27" t="s">
        <v>88</v>
      </c>
      <c r="U61" s="27" t="s">
        <v>73</v>
      </c>
      <c r="V61" s="28" t="s">
        <v>89</v>
      </c>
    </row>
    <row r="62" spans="8:22" x14ac:dyDescent="0.25">
      <c r="H62" s="27" t="s">
        <v>247</v>
      </c>
      <c r="I62" s="27" t="s">
        <v>44</v>
      </c>
      <c r="J62" s="27" t="s">
        <v>45</v>
      </c>
      <c r="K62" s="27" t="s">
        <v>46</v>
      </c>
      <c r="L62" s="27" t="s">
        <v>65</v>
      </c>
      <c r="M62" s="27" t="s">
        <v>66</v>
      </c>
      <c r="N62" s="27" t="s">
        <v>258</v>
      </c>
      <c r="O62" s="27" t="s">
        <v>250</v>
      </c>
      <c r="P62" s="27" t="s">
        <v>265</v>
      </c>
      <c r="Q62" s="27"/>
      <c r="R62" s="28" t="s">
        <v>266</v>
      </c>
      <c r="S62" s="28" t="s">
        <v>267</v>
      </c>
      <c r="T62" s="27" t="s">
        <v>88</v>
      </c>
      <c r="U62" s="27" t="s">
        <v>73</v>
      </c>
      <c r="V62" s="28" t="s">
        <v>89</v>
      </c>
    </row>
    <row r="63" spans="8:22" x14ac:dyDescent="0.25">
      <c r="H63" s="27" t="s">
        <v>247</v>
      </c>
      <c r="I63" s="27" t="s">
        <v>44</v>
      </c>
      <c r="J63" s="27" t="s">
        <v>45</v>
      </c>
      <c r="K63" s="27" t="s">
        <v>46</v>
      </c>
      <c r="L63" s="27" t="s">
        <v>65</v>
      </c>
      <c r="M63" s="27" t="s">
        <v>66</v>
      </c>
      <c r="N63" s="27" t="s">
        <v>268</v>
      </c>
      <c r="O63" s="27" t="s">
        <v>269</v>
      </c>
      <c r="P63" s="27" t="s">
        <v>270</v>
      </c>
      <c r="Q63" s="27"/>
      <c r="R63" s="28" t="s">
        <v>271</v>
      </c>
      <c r="S63" s="28" t="s">
        <v>272</v>
      </c>
      <c r="T63" s="27" t="s">
        <v>88</v>
      </c>
      <c r="U63" s="27" t="s">
        <v>73</v>
      </c>
      <c r="V63" s="28" t="s">
        <v>89</v>
      </c>
    </row>
    <row r="64" spans="8:22" x14ac:dyDescent="0.25">
      <c r="H64" s="27" t="s">
        <v>247</v>
      </c>
      <c r="I64" s="27" t="s">
        <v>44</v>
      </c>
      <c r="J64" s="27" t="s">
        <v>45</v>
      </c>
      <c r="K64" s="27" t="s">
        <v>46</v>
      </c>
      <c r="L64" s="27" t="s">
        <v>65</v>
      </c>
      <c r="M64" s="27" t="s">
        <v>66</v>
      </c>
      <c r="N64" s="27" t="s">
        <v>156</v>
      </c>
      <c r="O64" s="27" t="s">
        <v>273</v>
      </c>
      <c r="P64" s="27" t="s">
        <v>158</v>
      </c>
      <c r="Q64" s="27"/>
      <c r="R64" s="28" t="s">
        <v>274</v>
      </c>
      <c r="S64" s="28" t="s">
        <v>275</v>
      </c>
      <c r="T64" s="27" t="s">
        <v>88</v>
      </c>
      <c r="U64" s="27" t="s">
        <v>73</v>
      </c>
      <c r="V64" s="28" t="s">
        <v>141</v>
      </c>
    </row>
    <row r="65" spans="8:22" x14ac:dyDescent="0.25">
      <c r="H65" s="27" t="s">
        <v>247</v>
      </c>
      <c r="I65" s="27" t="s">
        <v>44</v>
      </c>
      <c r="J65" s="27" t="s">
        <v>45</v>
      </c>
      <c r="K65" s="27" t="s">
        <v>46</v>
      </c>
      <c r="L65" s="27" t="s">
        <v>65</v>
      </c>
      <c r="M65" s="27" t="s">
        <v>66</v>
      </c>
      <c r="N65" s="27" t="s">
        <v>156</v>
      </c>
      <c r="O65" s="27" t="s">
        <v>273</v>
      </c>
      <c r="P65" s="27" t="s">
        <v>162</v>
      </c>
      <c r="Q65" s="27"/>
      <c r="R65" s="28" t="s">
        <v>276</v>
      </c>
      <c r="S65" s="28" t="s">
        <v>277</v>
      </c>
      <c r="T65" s="27" t="s">
        <v>88</v>
      </c>
      <c r="U65" s="27" t="s">
        <v>73</v>
      </c>
      <c r="V65" s="28" t="s">
        <v>141</v>
      </c>
    </row>
    <row r="66" spans="8:22" x14ac:dyDescent="0.25">
      <c r="H66" s="27" t="s">
        <v>247</v>
      </c>
      <c r="I66" s="27" t="s">
        <v>44</v>
      </c>
      <c r="J66" s="27" t="s">
        <v>45</v>
      </c>
      <c r="K66" s="27" t="s">
        <v>46</v>
      </c>
      <c r="L66" s="27" t="s">
        <v>65</v>
      </c>
      <c r="M66" s="27" t="s">
        <v>66</v>
      </c>
      <c r="N66" s="27" t="s">
        <v>278</v>
      </c>
      <c r="O66" s="27" t="s">
        <v>279</v>
      </c>
      <c r="P66" s="27" t="s">
        <v>280</v>
      </c>
      <c r="Q66" s="27"/>
      <c r="R66" s="28" t="s">
        <v>281</v>
      </c>
      <c r="S66" s="28" t="s">
        <v>282</v>
      </c>
      <c r="T66" s="27" t="s">
        <v>140</v>
      </c>
      <c r="U66" s="27" t="s">
        <v>73</v>
      </c>
      <c r="V66" s="28" t="s">
        <v>141</v>
      </c>
    </row>
    <row r="67" spans="8:22" x14ac:dyDescent="0.25">
      <c r="H67" s="27" t="s">
        <v>247</v>
      </c>
      <c r="I67" s="27" t="s">
        <v>44</v>
      </c>
      <c r="J67" s="27" t="s">
        <v>45</v>
      </c>
      <c r="K67" s="27" t="s">
        <v>46</v>
      </c>
      <c r="L67" s="27" t="s">
        <v>65</v>
      </c>
      <c r="M67" s="27" t="s">
        <v>148</v>
      </c>
      <c r="N67" s="27" t="s">
        <v>278</v>
      </c>
      <c r="O67" s="27" t="s">
        <v>283</v>
      </c>
      <c r="P67" s="27" t="s">
        <v>284</v>
      </c>
      <c r="Q67" s="27"/>
      <c r="R67" s="28" t="s">
        <v>285</v>
      </c>
      <c r="S67" s="28" t="s">
        <v>286</v>
      </c>
      <c r="T67" s="27" t="s">
        <v>72</v>
      </c>
      <c r="U67" s="27" t="s">
        <v>73</v>
      </c>
      <c r="V67" s="28"/>
    </row>
    <row r="68" spans="8:22" x14ac:dyDescent="0.25">
      <c r="H68" s="27" t="s">
        <v>247</v>
      </c>
      <c r="I68" s="27" t="s">
        <v>44</v>
      </c>
      <c r="J68" s="27" t="s">
        <v>45</v>
      </c>
      <c r="K68" s="27" t="s">
        <v>46</v>
      </c>
      <c r="L68" s="27" t="s">
        <v>183</v>
      </c>
      <c r="M68" s="27" t="s">
        <v>184</v>
      </c>
      <c r="N68" s="27" t="s">
        <v>165</v>
      </c>
      <c r="O68" s="27" t="s">
        <v>254</v>
      </c>
      <c r="P68" s="27" t="s">
        <v>255</v>
      </c>
      <c r="Q68" s="27"/>
      <c r="R68" s="28" t="s">
        <v>287</v>
      </c>
      <c r="S68" s="28" t="s">
        <v>288</v>
      </c>
      <c r="T68" s="27" t="s">
        <v>187</v>
      </c>
      <c r="U68" s="27" t="s">
        <v>73</v>
      </c>
      <c r="V68" s="28" t="s">
        <v>188</v>
      </c>
    </row>
    <row r="69" spans="8:22" x14ac:dyDescent="0.25">
      <c r="H69" s="27" t="s">
        <v>247</v>
      </c>
      <c r="I69" s="27" t="s">
        <v>44</v>
      </c>
      <c r="J69" s="27" t="s">
        <v>45</v>
      </c>
      <c r="K69" s="27" t="s">
        <v>46</v>
      </c>
      <c r="L69" s="27" t="s">
        <v>183</v>
      </c>
      <c r="M69" s="27" t="s">
        <v>184</v>
      </c>
      <c r="N69" s="27" t="s">
        <v>258</v>
      </c>
      <c r="O69" s="27" t="s">
        <v>250</v>
      </c>
      <c r="P69" s="27" t="s">
        <v>68</v>
      </c>
      <c r="Q69" s="27"/>
      <c r="R69" s="28" t="s">
        <v>289</v>
      </c>
      <c r="S69" s="28" t="s">
        <v>290</v>
      </c>
      <c r="T69" s="27" t="s">
        <v>187</v>
      </c>
      <c r="U69" s="27" t="s">
        <v>73</v>
      </c>
      <c r="V69" s="28" t="s">
        <v>188</v>
      </c>
    </row>
    <row r="70" spans="8:22" x14ac:dyDescent="0.25">
      <c r="H70" s="27" t="s">
        <v>247</v>
      </c>
      <c r="I70" s="27" t="s">
        <v>44</v>
      </c>
      <c r="J70" s="27" t="s">
        <v>45</v>
      </c>
      <c r="K70" s="27" t="s">
        <v>46</v>
      </c>
      <c r="L70" s="27" t="s">
        <v>183</v>
      </c>
      <c r="M70" s="27" t="s">
        <v>184</v>
      </c>
      <c r="N70" s="27" t="s">
        <v>258</v>
      </c>
      <c r="O70" s="27" t="s">
        <v>250</v>
      </c>
      <c r="P70" s="27" t="s">
        <v>262</v>
      </c>
      <c r="Q70" s="27"/>
      <c r="R70" s="28" t="s">
        <v>291</v>
      </c>
      <c r="S70" s="28" t="s">
        <v>292</v>
      </c>
      <c r="T70" s="27" t="s">
        <v>193</v>
      </c>
      <c r="U70" s="27" t="s">
        <v>73</v>
      </c>
      <c r="V70" s="28" t="s">
        <v>194</v>
      </c>
    </row>
    <row r="71" spans="8:22" x14ac:dyDescent="0.25">
      <c r="H71" s="27" t="s">
        <v>247</v>
      </c>
      <c r="I71" s="27" t="s">
        <v>44</v>
      </c>
      <c r="J71" s="27" t="s">
        <v>45</v>
      </c>
      <c r="K71" s="27" t="s">
        <v>46</v>
      </c>
      <c r="L71" s="27" t="s">
        <v>183</v>
      </c>
      <c r="M71" s="27" t="s">
        <v>184</v>
      </c>
      <c r="N71" s="27" t="s">
        <v>258</v>
      </c>
      <c r="O71" s="27" t="s">
        <v>250</v>
      </c>
      <c r="P71" s="27" t="s">
        <v>265</v>
      </c>
      <c r="Q71" s="27"/>
      <c r="R71" s="28" t="s">
        <v>293</v>
      </c>
      <c r="S71" s="28" t="s">
        <v>294</v>
      </c>
      <c r="T71" s="27" t="s">
        <v>193</v>
      </c>
      <c r="U71" s="27" t="s">
        <v>73</v>
      </c>
      <c r="V71" s="28" t="s">
        <v>194</v>
      </c>
    </row>
    <row r="72" spans="8:22" x14ac:dyDescent="0.25">
      <c r="H72" s="27" t="s">
        <v>247</v>
      </c>
      <c r="I72" s="27" t="s">
        <v>44</v>
      </c>
      <c r="J72" s="27" t="s">
        <v>45</v>
      </c>
      <c r="K72" s="27" t="s">
        <v>46</v>
      </c>
      <c r="L72" s="27" t="s">
        <v>183</v>
      </c>
      <c r="M72" s="27" t="s">
        <v>184</v>
      </c>
      <c r="N72" s="27" t="s">
        <v>268</v>
      </c>
      <c r="O72" s="27" t="s">
        <v>269</v>
      </c>
      <c r="P72" s="27" t="s">
        <v>270</v>
      </c>
      <c r="Q72" s="27"/>
      <c r="R72" s="28" t="s">
        <v>295</v>
      </c>
      <c r="S72" s="28" t="s">
        <v>296</v>
      </c>
      <c r="T72" s="27" t="s">
        <v>193</v>
      </c>
      <c r="U72" s="27" t="s">
        <v>73</v>
      </c>
      <c r="V72" s="28" t="s">
        <v>194</v>
      </c>
    </row>
    <row r="73" spans="8:22" x14ac:dyDescent="0.25">
      <c r="H73" s="27" t="s">
        <v>247</v>
      </c>
      <c r="I73" s="27" t="s">
        <v>44</v>
      </c>
      <c r="J73" s="27" t="s">
        <v>45</v>
      </c>
      <c r="K73" s="27" t="s">
        <v>46</v>
      </c>
      <c r="L73" s="27" t="s">
        <v>183</v>
      </c>
      <c r="M73" s="27" t="s">
        <v>184</v>
      </c>
      <c r="N73" s="27" t="s">
        <v>156</v>
      </c>
      <c r="O73" s="27" t="s">
        <v>273</v>
      </c>
      <c r="P73" s="27" t="s">
        <v>158</v>
      </c>
      <c r="Q73" s="27"/>
      <c r="R73" s="28" t="s">
        <v>297</v>
      </c>
      <c r="S73" s="28" t="s">
        <v>298</v>
      </c>
      <c r="T73" s="27" t="s">
        <v>193</v>
      </c>
      <c r="U73" s="27" t="s">
        <v>73</v>
      </c>
      <c r="V73" s="28" t="s">
        <v>225</v>
      </c>
    </row>
    <row r="74" spans="8:22" x14ac:dyDescent="0.25">
      <c r="H74" s="27" t="s">
        <v>247</v>
      </c>
      <c r="I74" s="27" t="s">
        <v>44</v>
      </c>
      <c r="J74" s="27" t="s">
        <v>45</v>
      </c>
      <c r="K74" s="27" t="s">
        <v>46</v>
      </c>
      <c r="L74" s="27" t="s">
        <v>183</v>
      </c>
      <c r="M74" s="27" t="s">
        <v>184</v>
      </c>
      <c r="N74" s="27" t="s">
        <v>156</v>
      </c>
      <c r="O74" s="27" t="s">
        <v>273</v>
      </c>
      <c r="P74" s="27" t="s">
        <v>162</v>
      </c>
      <c r="Q74" s="27"/>
      <c r="R74" s="28" t="s">
        <v>299</v>
      </c>
      <c r="S74" s="28" t="s">
        <v>300</v>
      </c>
      <c r="T74" s="27" t="s">
        <v>193</v>
      </c>
      <c r="U74" s="27" t="s">
        <v>73</v>
      </c>
      <c r="V74" s="28" t="s">
        <v>225</v>
      </c>
    </row>
    <row r="75" spans="8:22" x14ac:dyDescent="0.25">
      <c r="H75" s="27" t="s">
        <v>247</v>
      </c>
      <c r="I75" s="27" t="s">
        <v>44</v>
      </c>
      <c r="J75" s="27" t="s">
        <v>45</v>
      </c>
      <c r="K75" s="27" t="s">
        <v>46</v>
      </c>
      <c r="L75" s="27" t="s">
        <v>183</v>
      </c>
      <c r="M75" s="27" t="s">
        <v>184</v>
      </c>
      <c r="N75" s="27" t="s">
        <v>278</v>
      </c>
      <c r="O75" s="27" t="s">
        <v>279</v>
      </c>
      <c r="P75" s="27" t="s">
        <v>280</v>
      </c>
      <c r="Q75" s="27"/>
      <c r="R75" s="28" t="s">
        <v>301</v>
      </c>
      <c r="S75" s="28" t="s">
        <v>302</v>
      </c>
      <c r="T75" s="27" t="s">
        <v>140</v>
      </c>
      <c r="U75" s="27" t="s">
        <v>73</v>
      </c>
      <c r="V75" s="28" t="s">
        <v>225</v>
      </c>
    </row>
    <row r="76" spans="8:22" x14ac:dyDescent="0.25">
      <c r="H76" s="27" t="s">
        <v>303</v>
      </c>
      <c r="I76" s="27" t="s">
        <v>44</v>
      </c>
      <c r="J76" s="27" t="s">
        <v>45</v>
      </c>
      <c r="K76" s="27" t="s">
        <v>46</v>
      </c>
      <c r="L76" s="27" t="s">
        <v>304</v>
      </c>
      <c r="M76" s="27" t="s">
        <v>305</v>
      </c>
      <c r="N76" s="27" t="s">
        <v>142</v>
      </c>
      <c r="O76" s="27" t="s">
        <v>143</v>
      </c>
      <c r="P76" s="27" t="s">
        <v>144</v>
      </c>
      <c r="Q76" s="27"/>
      <c r="R76" s="28" t="s">
        <v>306</v>
      </c>
      <c r="S76" s="28" t="s">
        <v>307</v>
      </c>
      <c r="T76" s="27" t="s">
        <v>54</v>
      </c>
      <c r="U76" s="27" t="s">
        <v>55</v>
      </c>
      <c r="V76" s="28" t="s">
        <v>147</v>
      </c>
    </row>
    <row r="77" spans="8:22" x14ac:dyDescent="0.25">
      <c r="H77" s="27" t="s">
        <v>303</v>
      </c>
      <c r="I77" s="27" t="s">
        <v>44</v>
      </c>
      <c r="J77" s="27" t="s">
        <v>45</v>
      </c>
      <c r="K77" s="27" t="s">
        <v>46</v>
      </c>
      <c r="L77" s="27" t="s">
        <v>65</v>
      </c>
      <c r="M77" s="27" t="s">
        <v>66</v>
      </c>
      <c r="N77" s="27" t="s">
        <v>82</v>
      </c>
      <c r="O77" s="27" t="s">
        <v>83</v>
      </c>
      <c r="P77" s="27" t="s">
        <v>84</v>
      </c>
      <c r="Q77" s="27"/>
      <c r="R77" s="28" t="s">
        <v>308</v>
      </c>
      <c r="S77" s="28" t="s">
        <v>309</v>
      </c>
      <c r="T77" s="27" t="s">
        <v>88</v>
      </c>
      <c r="U77" s="27" t="s">
        <v>73</v>
      </c>
      <c r="V77" s="28" t="s">
        <v>89</v>
      </c>
    </row>
    <row r="78" spans="8:22" x14ac:dyDescent="0.25">
      <c r="H78" s="27" t="s">
        <v>303</v>
      </c>
      <c r="I78" s="27" t="s">
        <v>44</v>
      </c>
      <c r="J78" s="27" t="s">
        <v>45</v>
      </c>
      <c r="K78" s="27" t="s">
        <v>46</v>
      </c>
      <c r="L78" s="27" t="s">
        <v>65</v>
      </c>
      <c r="M78" s="27" t="s">
        <v>66</v>
      </c>
      <c r="N78" s="27" t="s">
        <v>82</v>
      </c>
      <c r="O78" s="27" t="s">
        <v>83</v>
      </c>
      <c r="P78" s="27" t="s">
        <v>106</v>
      </c>
      <c r="Q78" s="27"/>
      <c r="R78" s="28" t="s">
        <v>310</v>
      </c>
      <c r="S78" s="28" t="s">
        <v>311</v>
      </c>
      <c r="T78" s="27" t="s">
        <v>88</v>
      </c>
      <c r="U78" s="27" t="s">
        <v>73</v>
      </c>
      <c r="V78" s="28" t="s">
        <v>89</v>
      </c>
    </row>
    <row r="79" spans="8:22" x14ac:dyDescent="0.25">
      <c r="H79" s="27" t="s">
        <v>303</v>
      </c>
      <c r="I79" s="27" t="s">
        <v>44</v>
      </c>
      <c r="J79" s="27" t="s">
        <v>45</v>
      </c>
      <c r="K79" s="27" t="s">
        <v>46</v>
      </c>
      <c r="L79" s="27" t="s">
        <v>65</v>
      </c>
      <c r="M79" s="27" t="s">
        <v>66</v>
      </c>
      <c r="N79" s="27" t="s">
        <v>121</v>
      </c>
      <c r="O79" s="27" t="s">
        <v>83</v>
      </c>
      <c r="P79" s="27" t="s">
        <v>122</v>
      </c>
      <c r="Q79" s="27"/>
      <c r="R79" s="28" t="s">
        <v>312</v>
      </c>
      <c r="S79" s="28" t="s">
        <v>313</v>
      </c>
      <c r="T79" s="27" t="s">
        <v>72</v>
      </c>
      <c r="U79" s="27" t="s">
        <v>73</v>
      </c>
      <c r="V79" s="28" t="s">
        <v>74</v>
      </c>
    </row>
    <row r="80" spans="8:22" x14ac:dyDescent="0.25">
      <c r="H80" s="27" t="s">
        <v>303</v>
      </c>
      <c r="I80" s="27" t="s">
        <v>44</v>
      </c>
      <c r="J80" s="27" t="s">
        <v>45</v>
      </c>
      <c r="K80" s="27" t="s">
        <v>46</v>
      </c>
      <c r="L80" s="27" t="s">
        <v>65</v>
      </c>
      <c r="M80" s="27" t="s">
        <v>66</v>
      </c>
      <c r="N80" s="27" t="s">
        <v>134</v>
      </c>
      <c r="O80" s="27" t="s">
        <v>135</v>
      </c>
      <c r="P80" s="27" t="s">
        <v>136</v>
      </c>
      <c r="Q80" s="27"/>
      <c r="R80" s="28" t="s">
        <v>314</v>
      </c>
      <c r="S80" s="28" t="s">
        <v>315</v>
      </c>
      <c r="T80" s="27" t="s">
        <v>140</v>
      </c>
      <c r="U80" s="27" t="s">
        <v>73</v>
      </c>
      <c r="V80" s="28" t="s">
        <v>141</v>
      </c>
    </row>
    <row r="81" spans="8:22" x14ac:dyDescent="0.25">
      <c r="H81" s="27" t="s">
        <v>303</v>
      </c>
      <c r="I81" s="27" t="s">
        <v>44</v>
      </c>
      <c r="J81" s="27" t="s">
        <v>45</v>
      </c>
      <c r="K81" s="27" t="s">
        <v>46</v>
      </c>
      <c r="L81" s="27" t="s">
        <v>65</v>
      </c>
      <c r="M81" s="27" t="s">
        <v>66</v>
      </c>
      <c r="N81" s="27" t="s">
        <v>175</v>
      </c>
      <c r="O81" s="27" t="s">
        <v>176</v>
      </c>
      <c r="P81" s="27" t="s">
        <v>177</v>
      </c>
      <c r="Q81" s="27"/>
      <c r="R81" s="28" t="s">
        <v>316</v>
      </c>
      <c r="S81" s="28" t="s">
        <v>317</v>
      </c>
      <c r="T81" s="27" t="s">
        <v>140</v>
      </c>
      <c r="U81" s="27" t="s">
        <v>73</v>
      </c>
      <c r="V81" s="28" t="s">
        <v>141</v>
      </c>
    </row>
    <row r="82" spans="8:22" x14ac:dyDescent="0.25">
      <c r="H82" s="27" t="s">
        <v>303</v>
      </c>
      <c r="I82" s="27" t="s">
        <v>44</v>
      </c>
      <c r="J82" s="27" t="s">
        <v>45</v>
      </c>
      <c r="K82" s="27" t="s">
        <v>46</v>
      </c>
      <c r="L82" s="27" t="s">
        <v>183</v>
      </c>
      <c r="M82" s="27" t="s">
        <v>184</v>
      </c>
      <c r="N82" s="27" t="s">
        <v>82</v>
      </c>
      <c r="O82" s="27" t="s">
        <v>83</v>
      </c>
      <c r="P82" s="27" t="s">
        <v>122</v>
      </c>
      <c r="Q82" s="27"/>
      <c r="R82" s="28" t="s">
        <v>318</v>
      </c>
      <c r="S82" s="28" t="s">
        <v>319</v>
      </c>
      <c r="T82" s="27" t="s">
        <v>187</v>
      </c>
      <c r="U82" s="27" t="s">
        <v>73</v>
      </c>
      <c r="V82" s="28" t="s">
        <v>188</v>
      </c>
    </row>
    <row r="83" spans="8:22" x14ac:dyDescent="0.25">
      <c r="H83" s="27" t="s">
        <v>303</v>
      </c>
      <c r="I83" s="27" t="s">
        <v>44</v>
      </c>
      <c r="J83" s="27" t="s">
        <v>45</v>
      </c>
      <c r="K83" s="27" t="s">
        <v>46</v>
      </c>
      <c r="L83" s="27" t="s">
        <v>183</v>
      </c>
      <c r="M83" s="27" t="s">
        <v>184</v>
      </c>
      <c r="N83" s="27" t="s">
        <v>82</v>
      </c>
      <c r="O83" s="27" t="s">
        <v>83</v>
      </c>
      <c r="P83" s="27" t="s">
        <v>84</v>
      </c>
      <c r="Q83" s="27"/>
      <c r="R83" s="28" t="s">
        <v>320</v>
      </c>
      <c r="S83" s="28" t="s">
        <v>321</v>
      </c>
      <c r="T83" s="27" t="s">
        <v>193</v>
      </c>
      <c r="U83" s="27" t="s">
        <v>73</v>
      </c>
      <c r="V83" s="28" t="s">
        <v>194</v>
      </c>
    </row>
    <row r="84" spans="8:22" x14ac:dyDescent="0.25">
      <c r="H84" s="27" t="s">
        <v>303</v>
      </c>
      <c r="I84" s="27" t="s">
        <v>44</v>
      </c>
      <c r="J84" s="27" t="s">
        <v>45</v>
      </c>
      <c r="K84" s="27" t="s">
        <v>46</v>
      </c>
      <c r="L84" s="27" t="s">
        <v>183</v>
      </c>
      <c r="M84" s="27" t="s">
        <v>184</v>
      </c>
      <c r="N84" s="27" t="s">
        <v>82</v>
      </c>
      <c r="O84" s="27" t="s">
        <v>83</v>
      </c>
      <c r="P84" s="27" t="s">
        <v>106</v>
      </c>
      <c r="Q84" s="27"/>
      <c r="R84" s="28" t="s">
        <v>322</v>
      </c>
      <c r="S84" s="28" t="s">
        <v>323</v>
      </c>
      <c r="T84" s="27" t="s">
        <v>193</v>
      </c>
      <c r="U84" s="27" t="s">
        <v>73</v>
      </c>
      <c r="V84" s="28" t="s">
        <v>194</v>
      </c>
    </row>
    <row r="85" spans="8:22" x14ac:dyDescent="0.25">
      <c r="H85" s="27" t="s">
        <v>303</v>
      </c>
      <c r="I85" s="27" t="s">
        <v>44</v>
      </c>
      <c r="J85" s="27" t="s">
        <v>45</v>
      </c>
      <c r="K85" s="27" t="s">
        <v>46</v>
      </c>
      <c r="L85" s="27" t="s">
        <v>183</v>
      </c>
      <c r="M85" s="27" t="s">
        <v>184</v>
      </c>
      <c r="N85" s="27" t="s">
        <v>134</v>
      </c>
      <c r="O85" s="27" t="s">
        <v>135</v>
      </c>
      <c r="P85" s="27" t="s">
        <v>136</v>
      </c>
      <c r="Q85" s="27"/>
      <c r="R85" s="28" t="s">
        <v>324</v>
      </c>
      <c r="S85" s="28" t="s">
        <v>325</v>
      </c>
      <c r="T85" s="27" t="s">
        <v>140</v>
      </c>
      <c r="U85" s="27" t="s">
        <v>73</v>
      </c>
      <c r="V85" s="28" t="s">
        <v>225</v>
      </c>
    </row>
    <row r="86" spans="8:22" x14ac:dyDescent="0.25">
      <c r="H86" s="27" t="s">
        <v>303</v>
      </c>
      <c r="I86" s="27" t="s">
        <v>44</v>
      </c>
      <c r="J86" s="27" t="s">
        <v>45</v>
      </c>
      <c r="K86" s="27" t="s">
        <v>46</v>
      </c>
      <c r="L86" s="27" t="s">
        <v>183</v>
      </c>
      <c r="M86" s="27" t="s">
        <v>184</v>
      </c>
      <c r="N86" s="27" t="s">
        <v>142</v>
      </c>
      <c r="O86" s="27" t="s">
        <v>143</v>
      </c>
      <c r="P86" s="27" t="s">
        <v>226</v>
      </c>
      <c r="Q86" s="27"/>
      <c r="R86" s="28" t="s">
        <v>326</v>
      </c>
      <c r="S86" s="28" t="s">
        <v>327</v>
      </c>
      <c r="T86" s="27" t="s">
        <v>54</v>
      </c>
      <c r="U86" s="27" t="s">
        <v>55</v>
      </c>
      <c r="V86" s="28" t="s">
        <v>229</v>
      </c>
    </row>
    <row r="87" spans="8:22" x14ac:dyDescent="0.25">
      <c r="H87" s="27" t="s">
        <v>303</v>
      </c>
      <c r="I87" s="27" t="s">
        <v>44</v>
      </c>
      <c r="J87" s="27" t="s">
        <v>45</v>
      </c>
      <c r="K87" s="27" t="s">
        <v>46</v>
      </c>
      <c r="L87" s="27" t="s">
        <v>183</v>
      </c>
      <c r="M87" s="27" t="s">
        <v>184</v>
      </c>
      <c r="N87" s="27" t="s">
        <v>175</v>
      </c>
      <c r="O87" s="27" t="s">
        <v>176</v>
      </c>
      <c r="P87" s="27" t="s">
        <v>177</v>
      </c>
      <c r="Q87" s="27"/>
      <c r="R87" s="28" t="s">
        <v>328</v>
      </c>
      <c r="S87" s="28" t="s">
        <v>329</v>
      </c>
      <c r="T87" s="27" t="s">
        <v>140</v>
      </c>
      <c r="U87" s="27" t="s">
        <v>73</v>
      </c>
      <c r="V87" s="28" t="s">
        <v>225</v>
      </c>
    </row>
    <row r="88" spans="8:22" x14ac:dyDescent="0.25">
      <c r="H88" s="27" t="s">
        <v>330</v>
      </c>
      <c r="I88" s="27" t="s">
        <v>44</v>
      </c>
      <c r="J88" s="27" t="s">
        <v>45</v>
      </c>
      <c r="K88" s="27" t="s">
        <v>46</v>
      </c>
      <c r="L88" s="27" t="s">
        <v>65</v>
      </c>
      <c r="M88" s="27" t="s">
        <v>66</v>
      </c>
      <c r="N88" s="27" t="s">
        <v>67</v>
      </c>
      <c r="O88" s="27" t="s">
        <v>59</v>
      </c>
      <c r="P88" s="27" t="s">
        <v>68</v>
      </c>
      <c r="Q88" s="27"/>
      <c r="R88" s="28" t="s">
        <v>331</v>
      </c>
      <c r="S88" s="28" t="s">
        <v>332</v>
      </c>
      <c r="T88" s="27" t="s">
        <v>72</v>
      </c>
      <c r="U88" s="27" t="s">
        <v>73</v>
      </c>
      <c r="V88" s="28" t="s">
        <v>74</v>
      </c>
    </row>
    <row r="89" spans="8:22" x14ac:dyDescent="0.25">
      <c r="H89" s="27" t="s">
        <v>330</v>
      </c>
      <c r="I89" s="27" t="s">
        <v>44</v>
      </c>
      <c r="J89" s="27" t="s">
        <v>45</v>
      </c>
      <c r="K89" s="27" t="s">
        <v>46</v>
      </c>
      <c r="L89" s="27" t="s">
        <v>183</v>
      </c>
      <c r="M89" s="27" t="s">
        <v>184</v>
      </c>
      <c r="N89" s="27" t="s">
        <v>67</v>
      </c>
      <c r="O89" s="27" t="s">
        <v>59</v>
      </c>
      <c r="P89" s="27" t="s">
        <v>68</v>
      </c>
      <c r="Q89" s="27"/>
      <c r="R89" s="28" t="s">
        <v>333</v>
      </c>
      <c r="S89" s="28" t="s">
        <v>334</v>
      </c>
      <c r="T89" s="27" t="s">
        <v>72</v>
      </c>
      <c r="U89" s="27" t="s">
        <v>73</v>
      </c>
      <c r="V89" s="28" t="s">
        <v>188</v>
      </c>
    </row>
    <row r="90" spans="8:22" x14ac:dyDescent="0.25">
      <c r="H90" s="27" t="s">
        <v>330</v>
      </c>
      <c r="I90" s="27" t="s">
        <v>44</v>
      </c>
      <c r="J90" s="27" t="s">
        <v>45</v>
      </c>
      <c r="K90" s="27" t="s">
        <v>46</v>
      </c>
      <c r="L90" s="27" t="s">
        <v>56</v>
      </c>
      <c r="M90" s="27" t="s">
        <v>57</v>
      </c>
      <c r="N90" s="27" t="s">
        <v>58</v>
      </c>
      <c r="O90" s="27" t="s">
        <v>59</v>
      </c>
      <c r="P90" s="27" t="s">
        <v>60</v>
      </c>
      <c r="Q90" s="27"/>
      <c r="R90" s="28" t="s">
        <v>335</v>
      </c>
      <c r="S90" s="28" t="s">
        <v>336</v>
      </c>
      <c r="T90" s="27"/>
      <c r="U90" s="27" t="s">
        <v>55</v>
      </c>
      <c r="V90" s="28"/>
    </row>
    <row r="91" spans="8:22" x14ac:dyDescent="0.25">
      <c r="H91" s="27" t="s">
        <v>337</v>
      </c>
      <c r="I91" s="27" t="s">
        <v>44</v>
      </c>
      <c r="J91" s="27" t="s">
        <v>45</v>
      </c>
      <c r="K91" s="27" t="s">
        <v>46</v>
      </c>
      <c r="L91" s="27" t="s">
        <v>65</v>
      </c>
      <c r="M91" s="27" t="s">
        <v>66</v>
      </c>
      <c r="N91" s="27" t="s">
        <v>82</v>
      </c>
      <c r="O91" s="27" t="s">
        <v>338</v>
      </c>
      <c r="P91" s="27" t="s">
        <v>84</v>
      </c>
      <c r="Q91" s="27"/>
      <c r="R91" s="28" t="s">
        <v>339</v>
      </c>
      <c r="S91" s="28" t="s">
        <v>340</v>
      </c>
      <c r="T91" s="27" t="s">
        <v>88</v>
      </c>
      <c r="U91" s="27" t="s">
        <v>73</v>
      </c>
      <c r="V91" s="28" t="s">
        <v>89</v>
      </c>
    </row>
    <row r="92" spans="8:22" x14ac:dyDescent="0.25">
      <c r="H92" s="27" t="s">
        <v>337</v>
      </c>
      <c r="I92" s="27" t="s">
        <v>44</v>
      </c>
      <c r="J92" s="27" t="s">
        <v>45</v>
      </c>
      <c r="K92" s="27" t="s">
        <v>46</v>
      </c>
      <c r="L92" s="27" t="s">
        <v>183</v>
      </c>
      <c r="M92" s="27" t="s">
        <v>184</v>
      </c>
      <c r="N92" s="27" t="s">
        <v>82</v>
      </c>
      <c r="O92" s="27" t="s">
        <v>338</v>
      </c>
      <c r="P92" s="27" t="s">
        <v>84</v>
      </c>
      <c r="Q92" s="27"/>
      <c r="R92" s="28" t="s">
        <v>341</v>
      </c>
      <c r="S92" s="28" t="s">
        <v>342</v>
      </c>
      <c r="T92" s="27" t="s">
        <v>193</v>
      </c>
      <c r="U92" s="27" t="s">
        <v>73</v>
      </c>
      <c r="V92" s="28" t="s">
        <v>194</v>
      </c>
    </row>
    <row r="93" spans="8:22" x14ac:dyDescent="0.25">
      <c r="H93" s="27" t="s">
        <v>343</v>
      </c>
      <c r="I93" s="27" t="s">
        <v>44</v>
      </c>
      <c r="J93" s="27" t="s">
        <v>45</v>
      </c>
      <c r="K93" s="27" t="s">
        <v>46</v>
      </c>
      <c r="L93" s="27" t="s">
        <v>65</v>
      </c>
      <c r="M93" s="27" t="s">
        <v>66</v>
      </c>
      <c r="N93" s="27" t="s">
        <v>82</v>
      </c>
      <c r="O93" s="27" t="s">
        <v>83</v>
      </c>
      <c r="P93" s="27" t="s">
        <v>84</v>
      </c>
      <c r="Q93" s="27" t="s">
        <v>344</v>
      </c>
      <c r="R93" s="28" t="s">
        <v>345</v>
      </c>
      <c r="S93" s="28" t="s">
        <v>346</v>
      </c>
      <c r="T93" s="27" t="s">
        <v>88</v>
      </c>
      <c r="U93" s="27" t="s">
        <v>73</v>
      </c>
      <c r="V93" s="28" t="s">
        <v>89</v>
      </c>
    </row>
    <row r="94" spans="8:22" x14ac:dyDescent="0.25">
      <c r="H94" s="27" t="s">
        <v>343</v>
      </c>
      <c r="I94" s="27" t="s">
        <v>44</v>
      </c>
      <c r="J94" s="27" t="s">
        <v>45</v>
      </c>
      <c r="K94" s="27" t="s">
        <v>46</v>
      </c>
      <c r="L94" s="27" t="s">
        <v>65</v>
      </c>
      <c r="M94" s="27" t="s">
        <v>66</v>
      </c>
      <c r="N94" s="27" t="s">
        <v>82</v>
      </c>
      <c r="O94" s="27" t="s">
        <v>83</v>
      </c>
      <c r="P94" s="27" t="s">
        <v>106</v>
      </c>
      <c r="Q94" s="27" t="s">
        <v>344</v>
      </c>
      <c r="R94" s="28" t="s">
        <v>347</v>
      </c>
      <c r="S94" s="28" t="s">
        <v>348</v>
      </c>
      <c r="T94" s="27" t="s">
        <v>88</v>
      </c>
      <c r="U94" s="27" t="s">
        <v>73</v>
      </c>
      <c r="V94" s="28" t="s">
        <v>89</v>
      </c>
    </row>
    <row r="95" spans="8:22" x14ac:dyDescent="0.25">
      <c r="H95" s="27" t="s">
        <v>343</v>
      </c>
      <c r="I95" s="27" t="s">
        <v>44</v>
      </c>
      <c r="J95" s="27" t="s">
        <v>45</v>
      </c>
      <c r="K95" s="27" t="s">
        <v>46</v>
      </c>
      <c r="L95" s="27" t="s">
        <v>65</v>
      </c>
      <c r="M95" s="27" t="s">
        <v>184</v>
      </c>
      <c r="N95" s="27" t="s">
        <v>82</v>
      </c>
      <c r="O95" s="27" t="s">
        <v>83</v>
      </c>
      <c r="P95" s="27" t="s">
        <v>349</v>
      </c>
      <c r="Q95" s="27" t="s">
        <v>350</v>
      </c>
      <c r="R95" s="28" t="s">
        <v>351</v>
      </c>
      <c r="S95" s="28" t="s">
        <v>352</v>
      </c>
      <c r="T95" s="27" t="s">
        <v>193</v>
      </c>
      <c r="U95" s="27" t="s">
        <v>73</v>
      </c>
      <c r="V95" s="28"/>
    </row>
    <row r="96" spans="8:22" x14ac:dyDescent="0.25">
      <c r="H96" s="27" t="s">
        <v>343</v>
      </c>
      <c r="I96" s="27" t="s">
        <v>44</v>
      </c>
      <c r="J96" s="27" t="s">
        <v>45</v>
      </c>
      <c r="K96" s="27" t="s">
        <v>46</v>
      </c>
      <c r="L96" s="27" t="s">
        <v>65</v>
      </c>
      <c r="M96" s="27" t="s">
        <v>184</v>
      </c>
      <c r="N96" s="27" t="s">
        <v>82</v>
      </c>
      <c r="O96" s="27" t="s">
        <v>83</v>
      </c>
      <c r="P96" s="27" t="s">
        <v>349</v>
      </c>
      <c r="Q96" s="27" t="s">
        <v>353</v>
      </c>
      <c r="R96" s="28" t="s">
        <v>354</v>
      </c>
      <c r="S96" s="28" t="s">
        <v>355</v>
      </c>
      <c r="T96" s="27" t="s">
        <v>193</v>
      </c>
      <c r="U96" s="27" t="s">
        <v>73</v>
      </c>
      <c r="V96" s="28"/>
    </row>
    <row r="97" spans="8:22" x14ac:dyDescent="0.25">
      <c r="H97" s="27" t="s">
        <v>343</v>
      </c>
      <c r="I97" s="27" t="s">
        <v>44</v>
      </c>
      <c r="J97" s="27" t="s">
        <v>45</v>
      </c>
      <c r="K97" s="27" t="s">
        <v>46</v>
      </c>
      <c r="L97" s="27" t="s">
        <v>65</v>
      </c>
      <c r="M97" s="27" t="s">
        <v>66</v>
      </c>
      <c r="N97" s="27" t="s">
        <v>82</v>
      </c>
      <c r="O97" s="27" t="s">
        <v>83</v>
      </c>
      <c r="P97" s="27" t="s">
        <v>84</v>
      </c>
      <c r="Q97" s="27" t="s">
        <v>356</v>
      </c>
      <c r="R97" s="28" t="s">
        <v>357</v>
      </c>
      <c r="S97" s="28" t="s">
        <v>358</v>
      </c>
      <c r="T97" s="27" t="s">
        <v>88</v>
      </c>
      <c r="U97" s="27" t="s">
        <v>73</v>
      </c>
      <c r="V97" s="28" t="s">
        <v>89</v>
      </c>
    </row>
    <row r="98" spans="8:22" x14ac:dyDescent="0.25">
      <c r="H98" s="27" t="s">
        <v>343</v>
      </c>
      <c r="I98" s="27" t="s">
        <v>44</v>
      </c>
      <c r="J98" s="27" t="s">
        <v>45</v>
      </c>
      <c r="K98" s="27" t="s">
        <v>46</v>
      </c>
      <c r="L98" s="27" t="s">
        <v>65</v>
      </c>
      <c r="M98" s="27" t="s">
        <v>66</v>
      </c>
      <c r="N98" s="27" t="s">
        <v>82</v>
      </c>
      <c r="O98" s="27" t="s">
        <v>83</v>
      </c>
      <c r="P98" s="27" t="s">
        <v>106</v>
      </c>
      <c r="Q98" s="27" t="s">
        <v>356</v>
      </c>
      <c r="R98" s="28" t="s">
        <v>359</v>
      </c>
      <c r="S98" s="28" t="s">
        <v>360</v>
      </c>
      <c r="T98" s="27" t="s">
        <v>88</v>
      </c>
      <c r="U98" s="27" t="s">
        <v>73</v>
      </c>
      <c r="V98" s="28" t="s">
        <v>89</v>
      </c>
    </row>
    <row r="99" spans="8:22" x14ac:dyDescent="0.25">
      <c r="H99" s="27" t="s">
        <v>343</v>
      </c>
      <c r="I99" s="27" t="s">
        <v>44</v>
      </c>
      <c r="J99" s="27" t="s">
        <v>45</v>
      </c>
      <c r="K99" s="27" t="s">
        <v>46</v>
      </c>
      <c r="L99" s="27" t="s">
        <v>361</v>
      </c>
      <c r="M99" s="27" t="s">
        <v>362</v>
      </c>
      <c r="N99" s="27"/>
      <c r="O99" s="27"/>
      <c r="P99" s="27"/>
      <c r="Q99" s="27"/>
      <c r="R99" s="28" t="s">
        <v>363</v>
      </c>
      <c r="S99" s="28" t="s">
        <v>364</v>
      </c>
      <c r="T99" s="27" t="s">
        <v>88</v>
      </c>
      <c r="U99" s="27" t="s">
        <v>73</v>
      </c>
      <c r="V99" s="28" t="s">
        <v>89</v>
      </c>
    </row>
    <row r="100" spans="8:22" x14ac:dyDescent="0.25">
      <c r="H100" s="27" t="s">
        <v>343</v>
      </c>
      <c r="I100" s="27" t="s">
        <v>44</v>
      </c>
      <c r="J100" s="27" t="s">
        <v>45</v>
      </c>
      <c r="K100" s="27" t="s">
        <v>46</v>
      </c>
      <c r="L100" s="27" t="s">
        <v>183</v>
      </c>
      <c r="M100" s="27" t="s">
        <v>184</v>
      </c>
      <c r="N100" s="27" t="s">
        <v>82</v>
      </c>
      <c r="O100" s="27" t="s">
        <v>83</v>
      </c>
      <c r="P100" s="27" t="s">
        <v>84</v>
      </c>
      <c r="Q100" s="27" t="s">
        <v>344</v>
      </c>
      <c r="R100" s="28" t="s">
        <v>365</v>
      </c>
      <c r="S100" s="28" t="s">
        <v>366</v>
      </c>
      <c r="T100" s="27" t="s">
        <v>193</v>
      </c>
      <c r="U100" s="27" t="s">
        <v>73</v>
      </c>
      <c r="V100" s="28" t="s">
        <v>194</v>
      </c>
    </row>
    <row r="101" spans="8:22" x14ac:dyDescent="0.25">
      <c r="H101" s="27" t="s">
        <v>343</v>
      </c>
      <c r="I101" s="27" t="s">
        <v>44</v>
      </c>
      <c r="J101" s="27" t="s">
        <v>45</v>
      </c>
      <c r="K101" s="27" t="s">
        <v>46</v>
      </c>
      <c r="L101" s="27" t="s">
        <v>183</v>
      </c>
      <c r="M101" s="27" t="s">
        <v>184</v>
      </c>
      <c r="N101" s="27" t="s">
        <v>82</v>
      </c>
      <c r="O101" s="27" t="s">
        <v>83</v>
      </c>
      <c r="P101" s="27" t="s">
        <v>106</v>
      </c>
      <c r="Q101" s="27" t="s">
        <v>344</v>
      </c>
      <c r="R101" s="28" t="s">
        <v>367</v>
      </c>
      <c r="S101" s="28" t="s">
        <v>368</v>
      </c>
      <c r="T101" s="27" t="s">
        <v>193</v>
      </c>
      <c r="U101" s="27" t="s">
        <v>73</v>
      </c>
      <c r="V101" s="28" t="s">
        <v>194</v>
      </c>
    </row>
    <row r="102" spans="8:22" x14ac:dyDescent="0.25">
      <c r="H102" s="27" t="s">
        <v>343</v>
      </c>
      <c r="I102" s="27" t="s">
        <v>44</v>
      </c>
      <c r="J102" s="27" t="s">
        <v>45</v>
      </c>
      <c r="K102" s="27" t="s">
        <v>46</v>
      </c>
      <c r="L102" s="27" t="s">
        <v>183</v>
      </c>
      <c r="M102" s="27" t="s">
        <v>184</v>
      </c>
      <c r="N102" s="27" t="s">
        <v>82</v>
      </c>
      <c r="O102" s="27" t="s">
        <v>83</v>
      </c>
      <c r="P102" s="27" t="s">
        <v>349</v>
      </c>
      <c r="Q102" s="27" t="s">
        <v>350</v>
      </c>
      <c r="R102" s="28" t="s">
        <v>369</v>
      </c>
      <c r="S102" s="28" t="s">
        <v>370</v>
      </c>
      <c r="T102" s="27" t="s">
        <v>193</v>
      </c>
      <c r="U102" s="27" t="s">
        <v>73</v>
      </c>
      <c r="V102" s="28"/>
    </row>
    <row r="103" spans="8:22" x14ac:dyDescent="0.25">
      <c r="H103" s="27" t="s">
        <v>343</v>
      </c>
      <c r="I103" s="27" t="s">
        <v>44</v>
      </c>
      <c r="J103" s="27" t="s">
        <v>45</v>
      </c>
      <c r="K103" s="27" t="s">
        <v>46</v>
      </c>
      <c r="L103" s="27" t="s">
        <v>183</v>
      </c>
      <c r="M103" s="27" t="s">
        <v>184</v>
      </c>
      <c r="N103" s="27" t="s">
        <v>82</v>
      </c>
      <c r="O103" s="27" t="s">
        <v>83</v>
      </c>
      <c r="P103" s="27" t="s">
        <v>349</v>
      </c>
      <c r="Q103" s="27" t="s">
        <v>353</v>
      </c>
      <c r="R103" s="28" t="s">
        <v>371</v>
      </c>
      <c r="S103" s="28" t="s">
        <v>372</v>
      </c>
      <c r="T103" s="27" t="s">
        <v>193</v>
      </c>
      <c r="U103" s="27" t="s">
        <v>73</v>
      </c>
      <c r="V103" s="28"/>
    </row>
    <row r="104" spans="8:22" x14ac:dyDescent="0.25">
      <c r="H104" s="27" t="s">
        <v>343</v>
      </c>
      <c r="I104" s="27" t="s">
        <v>44</v>
      </c>
      <c r="J104" s="27" t="s">
        <v>45</v>
      </c>
      <c r="K104" s="27" t="s">
        <v>46</v>
      </c>
      <c r="L104" s="27" t="s">
        <v>183</v>
      </c>
      <c r="M104" s="27" t="s">
        <v>184</v>
      </c>
      <c r="N104" s="27" t="s">
        <v>82</v>
      </c>
      <c r="O104" s="27" t="s">
        <v>83</v>
      </c>
      <c r="P104" s="27" t="s">
        <v>84</v>
      </c>
      <c r="Q104" s="27" t="s">
        <v>356</v>
      </c>
      <c r="R104" s="28" t="s">
        <v>373</v>
      </c>
      <c r="S104" s="28" t="s">
        <v>374</v>
      </c>
      <c r="T104" s="27" t="s">
        <v>193</v>
      </c>
      <c r="U104" s="27" t="s">
        <v>73</v>
      </c>
      <c r="V104" s="28" t="s">
        <v>194</v>
      </c>
    </row>
    <row r="105" spans="8:22" x14ac:dyDescent="0.25">
      <c r="H105" s="27" t="s">
        <v>343</v>
      </c>
      <c r="I105" s="27" t="s">
        <v>44</v>
      </c>
      <c r="J105" s="27" t="s">
        <v>45</v>
      </c>
      <c r="K105" s="27" t="s">
        <v>46</v>
      </c>
      <c r="L105" s="27" t="s">
        <v>183</v>
      </c>
      <c r="M105" s="27" t="s">
        <v>184</v>
      </c>
      <c r="N105" s="27" t="s">
        <v>82</v>
      </c>
      <c r="O105" s="27" t="s">
        <v>83</v>
      </c>
      <c r="P105" s="27" t="s">
        <v>106</v>
      </c>
      <c r="Q105" s="27" t="s">
        <v>356</v>
      </c>
      <c r="R105" s="28" t="s">
        <v>375</v>
      </c>
      <c r="S105" s="28" t="s">
        <v>376</v>
      </c>
      <c r="T105" s="27" t="s">
        <v>193</v>
      </c>
      <c r="U105" s="27" t="s">
        <v>73</v>
      </c>
      <c r="V105" s="28" t="s">
        <v>194</v>
      </c>
    </row>
    <row r="106" spans="8:22" x14ac:dyDescent="0.25">
      <c r="H106" s="27" t="s">
        <v>343</v>
      </c>
      <c r="I106" s="27" t="s">
        <v>44</v>
      </c>
      <c r="J106" s="27" t="s">
        <v>45</v>
      </c>
      <c r="K106" s="27" t="s">
        <v>46</v>
      </c>
      <c r="L106" s="27" t="s">
        <v>56</v>
      </c>
      <c r="M106" s="27" t="s">
        <v>57</v>
      </c>
      <c r="N106" s="27" t="s">
        <v>58</v>
      </c>
      <c r="O106" s="27" t="s">
        <v>59</v>
      </c>
      <c r="P106" s="27" t="s">
        <v>60</v>
      </c>
      <c r="Q106" s="27" t="s">
        <v>377</v>
      </c>
      <c r="R106" s="28" t="s">
        <v>378</v>
      </c>
      <c r="S106" s="28" t="s">
        <v>379</v>
      </c>
      <c r="T106" s="27"/>
      <c r="U106" s="27" t="s">
        <v>55</v>
      </c>
      <c r="V106" s="28"/>
    </row>
    <row r="107" spans="8:22" x14ac:dyDescent="0.25">
      <c r="H107" s="27" t="s">
        <v>343</v>
      </c>
      <c r="I107" s="27" t="s">
        <v>44</v>
      </c>
      <c r="J107" s="27" t="s">
        <v>45</v>
      </c>
      <c r="K107" s="27" t="s">
        <v>46</v>
      </c>
      <c r="L107" s="27" t="s">
        <v>56</v>
      </c>
      <c r="M107" s="27" t="s">
        <v>57</v>
      </c>
      <c r="N107" s="27" t="s">
        <v>58</v>
      </c>
      <c r="O107" s="27" t="s">
        <v>59</v>
      </c>
      <c r="P107" s="27" t="s">
        <v>60</v>
      </c>
      <c r="Q107" s="27" t="s">
        <v>380</v>
      </c>
      <c r="R107" s="28" t="s">
        <v>381</v>
      </c>
      <c r="S107" s="28" t="s">
        <v>382</v>
      </c>
      <c r="T107" s="27"/>
      <c r="U107" s="27" t="s">
        <v>55</v>
      </c>
      <c r="V107" s="28"/>
    </row>
    <row r="108" spans="8:22" x14ac:dyDescent="0.25">
      <c r="H108" s="27" t="s">
        <v>383</v>
      </c>
      <c r="I108" s="27" t="s">
        <v>44</v>
      </c>
      <c r="J108" s="27" t="s">
        <v>45</v>
      </c>
      <c r="K108" s="27" t="s">
        <v>46</v>
      </c>
      <c r="L108" s="27" t="s">
        <v>65</v>
      </c>
      <c r="M108" s="27" t="s">
        <v>66</v>
      </c>
      <c r="N108" s="27" t="s">
        <v>142</v>
      </c>
      <c r="O108" s="27" t="s">
        <v>143</v>
      </c>
      <c r="P108" s="27" t="s">
        <v>144</v>
      </c>
      <c r="Q108" s="27" t="s">
        <v>384</v>
      </c>
      <c r="R108" s="28" t="s">
        <v>385</v>
      </c>
      <c r="S108" s="28" t="s">
        <v>386</v>
      </c>
      <c r="T108" s="27" t="s">
        <v>54</v>
      </c>
      <c r="U108" s="27" t="s">
        <v>55</v>
      </c>
      <c r="V108" s="28" t="s">
        <v>147</v>
      </c>
    </row>
    <row r="109" spans="8:22" x14ac:dyDescent="0.25">
      <c r="H109" s="27" t="s">
        <v>383</v>
      </c>
      <c r="I109" s="27" t="s">
        <v>44</v>
      </c>
      <c r="J109" s="27" t="s">
        <v>45</v>
      </c>
      <c r="K109" s="27" t="s">
        <v>46</v>
      </c>
      <c r="L109" s="27" t="s">
        <v>65</v>
      </c>
      <c r="M109" s="27" t="s">
        <v>66</v>
      </c>
      <c r="N109" s="27" t="s">
        <v>67</v>
      </c>
      <c r="O109" s="27" t="s">
        <v>59</v>
      </c>
      <c r="P109" s="27" t="s">
        <v>68</v>
      </c>
      <c r="Q109" s="27" t="s">
        <v>387</v>
      </c>
      <c r="R109" s="28" t="s">
        <v>388</v>
      </c>
      <c r="S109" s="28" t="s">
        <v>389</v>
      </c>
      <c r="T109" s="27" t="s">
        <v>72</v>
      </c>
      <c r="U109" s="27" t="s">
        <v>73</v>
      </c>
      <c r="V109" s="28" t="s">
        <v>74</v>
      </c>
    </row>
    <row r="110" spans="8:22" x14ac:dyDescent="0.25">
      <c r="H110" s="27" t="s">
        <v>383</v>
      </c>
      <c r="I110" s="27" t="s">
        <v>44</v>
      </c>
      <c r="J110" s="27" t="s">
        <v>45</v>
      </c>
      <c r="K110" s="27" t="s">
        <v>46</v>
      </c>
      <c r="L110" s="27" t="s">
        <v>65</v>
      </c>
      <c r="M110" s="27" t="s">
        <v>66</v>
      </c>
      <c r="N110" s="27" t="s">
        <v>67</v>
      </c>
      <c r="O110" s="27" t="s">
        <v>59</v>
      </c>
      <c r="P110" s="27" t="s">
        <v>68</v>
      </c>
      <c r="Q110" s="27" t="s">
        <v>390</v>
      </c>
      <c r="R110" s="28" t="s">
        <v>391</v>
      </c>
      <c r="S110" s="28" t="s">
        <v>392</v>
      </c>
      <c r="T110" s="27" t="s">
        <v>72</v>
      </c>
      <c r="U110" s="27" t="s">
        <v>73</v>
      </c>
      <c r="V110" s="28" t="s">
        <v>74</v>
      </c>
    </row>
    <row r="111" spans="8:22" x14ac:dyDescent="0.25">
      <c r="H111" s="27" t="s">
        <v>383</v>
      </c>
      <c r="I111" s="27" t="s">
        <v>44</v>
      </c>
      <c r="J111" s="27" t="s">
        <v>45</v>
      </c>
      <c r="K111" s="27" t="s">
        <v>46</v>
      </c>
      <c r="L111" s="27" t="s">
        <v>65</v>
      </c>
      <c r="M111" s="27" t="s">
        <v>66</v>
      </c>
      <c r="N111" s="27" t="s">
        <v>67</v>
      </c>
      <c r="O111" s="27" t="s">
        <v>59</v>
      </c>
      <c r="P111" s="27" t="s">
        <v>68</v>
      </c>
      <c r="Q111" s="27" t="s">
        <v>393</v>
      </c>
      <c r="R111" s="28" t="s">
        <v>394</v>
      </c>
      <c r="S111" s="28" t="s">
        <v>395</v>
      </c>
      <c r="T111" s="27" t="s">
        <v>72</v>
      </c>
      <c r="U111" s="27" t="s">
        <v>73</v>
      </c>
      <c r="V111" s="28" t="s">
        <v>74</v>
      </c>
    </row>
    <row r="112" spans="8:22" x14ac:dyDescent="0.25">
      <c r="H112" s="27" t="s">
        <v>383</v>
      </c>
      <c r="I112" s="27" t="s">
        <v>44</v>
      </c>
      <c r="J112" s="27" t="s">
        <v>45</v>
      </c>
      <c r="K112" s="27" t="s">
        <v>46</v>
      </c>
      <c r="L112" s="27" t="s">
        <v>65</v>
      </c>
      <c r="M112" s="27" t="s">
        <v>66</v>
      </c>
      <c r="N112" s="27" t="s">
        <v>67</v>
      </c>
      <c r="O112" s="27" t="s">
        <v>59</v>
      </c>
      <c r="P112" s="27" t="s">
        <v>68</v>
      </c>
      <c r="Q112" s="27" t="s">
        <v>396</v>
      </c>
      <c r="R112" s="28" t="s">
        <v>397</v>
      </c>
      <c r="S112" s="28" t="s">
        <v>398</v>
      </c>
      <c r="T112" s="27" t="s">
        <v>72</v>
      </c>
      <c r="U112" s="27" t="s">
        <v>73</v>
      </c>
      <c r="V112" s="28" t="s">
        <v>74</v>
      </c>
    </row>
    <row r="113" spans="8:22" x14ac:dyDescent="0.25">
      <c r="H113" s="27" t="s">
        <v>383</v>
      </c>
      <c r="I113" s="27" t="s">
        <v>44</v>
      </c>
      <c r="J113" s="27" t="s">
        <v>45</v>
      </c>
      <c r="K113" s="27" t="s">
        <v>46</v>
      </c>
      <c r="L113" s="27" t="s">
        <v>65</v>
      </c>
      <c r="M113" s="27" t="s">
        <v>66</v>
      </c>
      <c r="N113" s="27" t="s">
        <v>121</v>
      </c>
      <c r="O113" s="27" t="s">
        <v>83</v>
      </c>
      <c r="P113" s="27" t="s">
        <v>122</v>
      </c>
      <c r="Q113" s="27" t="s">
        <v>387</v>
      </c>
      <c r="R113" s="28" t="s">
        <v>399</v>
      </c>
      <c r="S113" s="28" t="s">
        <v>400</v>
      </c>
      <c r="T113" s="27" t="s">
        <v>72</v>
      </c>
      <c r="U113" s="27" t="s">
        <v>73</v>
      </c>
      <c r="V113" s="28" t="s">
        <v>74</v>
      </c>
    </row>
    <row r="114" spans="8:22" x14ac:dyDescent="0.25">
      <c r="H114" s="27" t="s">
        <v>383</v>
      </c>
      <c r="I114" s="27" t="s">
        <v>44</v>
      </c>
      <c r="J114" s="27" t="s">
        <v>45</v>
      </c>
      <c r="K114" s="27" t="s">
        <v>46</v>
      </c>
      <c r="L114" s="27" t="s">
        <v>65</v>
      </c>
      <c r="M114" s="27" t="s">
        <v>66</v>
      </c>
      <c r="N114" s="27" t="s">
        <v>121</v>
      </c>
      <c r="O114" s="27" t="s">
        <v>83</v>
      </c>
      <c r="P114" s="27" t="s">
        <v>122</v>
      </c>
      <c r="Q114" s="27" t="s">
        <v>384</v>
      </c>
      <c r="R114" s="28" t="s">
        <v>401</v>
      </c>
      <c r="S114" s="28" t="s">
        <v>402</v>
      </c>
      <c r="T114" s="27" t="s">
        <v>72</v>
      </c>
      <c r="U114" s="27" t="s">
        <v>73</v>
      </c>
      <c r="V114" s="28" t="s">
        <v>74</v>
      </c>
    </row>
    <row r="115" spans="8:22" x14ac:dyDescent="0.25">
      <c r="H115" s="27" t="s">
        <v>383</v>
      </c>
      <c r="I115" s="27" t="s">
        <v>44</v>
      </c>
      <c r="J115" s="27" t="s">
        <v>45</v>
      </c>
      <c r="K115" s="27" t="s">
        <v>46</v>
      </c>
      <c r="L115" s="27" t="s">
        <v>65</v>
      </c>
      <c r="M115" s="27" t="s">
        <v>66</v>
      </c>
      <c r="N115" s="27" t="s">
        <v>82</v>
      </c>
      <c r="O115" s="27" t="s">
        <v>83</v>
      </c>
      <c r="P115" s="27" t="s">
        <v>84</v>
      </c>
      <c r="Q115" s="27" t="s">
        <v>387</v>
      </c>
      <c r="R115" s="28" t="s">
        <v>403</v>
      </c>
      <c r="S115" s="28" t="s">
        <v>404</v>
      </c>
      <c r="T115" s="27" t="s">
        <v>88</v>
      </c>
      <c r="U115" s="27" t="s">
        <v>73</v>
      </c>
      <c r="V115" s="28" t="s">
        <v>89</v>
      </c>
    </row>
    <row r="116" spans="8:22" x14ac:dyDescent="0.25">
      <c r="H116" s="27" t="s">
        <v>383</v>
      </c>
      <c r="I116" s="27" t="s">
        <v>44</v>
      </c>
      <c r="J116" s="27" t="s">
        <v>45</v>
      </c>
      <c r="K116" s="27" t="s">
        <v>46</v>
      </c>
      <c r="L116" s="27" t="s">
        <v>65</v>
      </c>
      <c r="M116" s="27" t="s">
        <v>66</v>
      </c>
      <c r="N116" s="27" t="s">
        <v>82</v>
      </c>
      <c r="O116" s="27" t="s">
        <v>83</v>
      </c>
      <c r="P116" s="27" t="s">
        <v>84</v>
      </c>
      <c r="Q116" s="27" t="s">
        <v>384</v>
      </c>
      <c r="R116" s="28" t="s">
        <v>405</v>
      </c>
      <c r="S116" s="28" t="s">
        <v>406</v>
      </c>
      <c r="T116" s="27" t="s">
        <v>88</v>
      </c>
      <c r="U116" s="27" t="s">
        <v>73</v>
      </c>
      <c r="V116" s="28" t="s">
        <v>89</v>
      </c>
    </row>
    <row r="117" spans="8:22" x14ac:dyDescent="0.25">
      <c r="H117" s="27" t="s">
        <v>383</v>
      </c>
      <c r="I117" s="27" t="s">
        <v>44</v>
      </c>
      <c r="J117" s="27" t="s">
        <v>45</v>
      </c>
      <c r="K117" s="27" t="s">
        <v>46</v>
      </c>
      <c r="L117" s="27" t="s">
        <v>65</v>
      </c>
      <c r="M117" s="27" t="s">
        <v>66</v>
      </c>
      <c r="N117" s="27" t="s">
        <v>82</v>
      </c>
      <c r="O117" s="27" t="s">
        <v>83</v>
      </c>
      <c r="P117" s="27" t="s">
        <v>84</v>
      </c>
      <c r="Q117" s="27" t="s">
        <v>407</v>
      </c>
      <c r="R117" s="28" t="s">
        <v>408</v>
      </c>
      <c r="S117" s="28" t="s">
        <v>409</v>
      </c>
      <c r="T117" s="27" t="s">
        <v>88</v>
      </c>
      <c r="U117" s="27" t="s">
        <v>73</v>
      </c>
      <c r="V117" s="28" t="s">
        <v>89</v>
      </c>
    </row>
    <row r="118" spans="8:22" x14ac:dyDescent="0.25">
      <c r="H118" s="27" t="s">
        <v>383</v>
      </c>
      <c r="I118" s="27" t="s">
        <v>44</v>
      </c>
      <c r="J118" s="27" t="s">
        <v>45</v>
      </c>
      <c r="K118" s="27" t="s">
        <v>46</v>
      </c>
      <c r="L118" s="27" t="s">
        <v>65</v>
      </c>
      <c r="M118" s="27" t="s">
        <v>66</v>
      </c>
      <c r="N118" s="27" t="s">
        <v>82</v>
      </c>
      <c r="O118" s="27" t="s">
        <v>83</v>
      </c>
      <c r="P118" s="27" t="s">
        <v>106</v>
      </c>
      <c r="Q118" s="27" t="s">
        <v>387</v>
      </c>
      <c r="R118" s="28" t="s">
        <v>410</v>
      </c>
      <c r="S118" s="28" t="s">
        <v>411</v>
      </c>
      <c r="T118" s="27" t="s">
        <v>88</v>
      </c>
      <c r="U118" s="27" t="s">
        <v>73</v>
      </c>
      <c r="V118" s="28" t="s">
        <v>89</v>
      </c>
    </row>
    <row r="119" spans="8:22" x14ac:dyDescent="0.25">
      <c r="H119" s="27" t="s">
        <v>383</v>
      </c>
      <c r="I119" s="27" t="s">
        <v>44</v>
      </c>
      <c r="J119" s="27" t="s">
        <v>45</v>
      </c>
      <c r="K119" s="27" t="s">
        <v>46</v>
      </c>
      <c r="L119" s="27" t="s">
        <v>65</v>
      </c>
      <c r="M119" s="27" t="s">
        <v>66</v>
      </c>
      <c r="N119" s="27" t="s">
        <v>82</v>
      </c>
      <c r="O119" s="27" t="s">
        <v>83</v>
      </c>
      <c r="P119" s="27" t="s">
        <v>106</v>
      </c>
      <c r="Q119" s="27" t="s">
        <v>384</v>
      </c>
      <c r="R119" s="28" t="s">
        <v>412</v>
      </c>
      <c r="S119" s="28" t="s">
        <v>413</v>
      </c>
      <c r="T119" s="27" t="s">
        <v>88</v>
      </c>
      <c r="U119" s="27" t="s">
        <v>73</v>
      </c>
      <c r="V119" s="28" t="s">
        <v>89</v>
      </c>
    </row>
    <row r="120" spans="8:22" x14ac:dyDescent="0.25">
      <c r="H120" s="27" t="s">
        <v>383</v>
      </c>
      <c r="I120" s="27" t="s">
        <v>44</v>
      </c>
      <c r="J120" s="27" t="s">
        <v>45</v>
      </c>
      <c r="K120" s="27" t="s">
        <v>46</v>
      </c>
      <c r="L120" s="27" t="s">
        <v>65</v>
      </c>
      <c r="M120" s="27" t="s">
        <v>66</v>
      </c>
      <c r="N120" s="27" t="s">
        <v>82</v>
      </c>
      <c r="O120" s="27" t="s">
        <v>83</v>
      </c>
      <c r="P120" s="27" t="s">
        <v>106</v>
      </c>
      <c r="Q120" s="27" t="s">
        <v>407</v>
      </c>
      <c r="R120" s="28" t="s">
        <v>414</v>
      </c>
      <c r="S120" s="28" t="s">
        <v>415</v>
      </c>
      <c r="T120" s="27" t="s">
        <v>88</v>
      </c>
      <c r="U120" s="27" t="s">
        <v>73</v>
      </c>
      <c r="V120" s="28" t="s">
        <v>89</v>
      </c>
    </row>
    <row r="121" spans="8:22" x14ac:dyDescent="0.25">
      <c r="H121" s="27" t="s">
        <v>383</v>
      </c>
      <c r="I121" s="27" t="s">
        <v>44</v>
      </c>
      <c r="J121" s="27" t="s">
        <v>45</v>
      </c>
      <c r="K121" s="27" t="s">
        <v>46</v>
      </c>
      <c r="L121" s="27" t="s">
        <v>183</v>
      </c>
      <c r="M121" s="27" t="s">
        <v>184</v>
      </c>
      <c r="N121" s="27" t="s">
        <v>142</v>
      </c>
      <c r="O121" s="27" t="s">
        <v>143</v>
      </c>
      <c r="P121" s="27" t="s">
        <v>226</v>
      </c>
      <c r="Q121" s="27" t="s">
        <v>384</v>
      </c>
      <c r="R121" s="28" t="s">
        <v>416</v>
      </c>
      <c r="S121" s="28" t="s">
        <v>417</v>
      </c>
      <c r="T121" s="27" t="s">
        <v>54</v>
      </c>
      <c r="U121" s="27" t="s">
        <v>55</v>
      </c>
      <c r="V121" s="28" t="s">
        <v>229</v>
      </c>
    </row>
    <row r="122" spans="8:22" x14ac:dyDescent="0.25">
      <c r="H122" s="27" t="s">
        <v>383</v>
      </c>
      <c r="I122" s="27" t="s">
        <v>44</v>
      </c>
      <c r="J122" s="27" t="s">
        <v>45</v>
      </c>
      <c r="K122" s="27" t="s">
        <v>46</v>
      </c>
      <c r="L122" s="27" t="s">
        <v>183</v>
      </c>
      <c r="M122" s="27" t="s">
        <v>184</v>
      </c>
      <c r="N122" s="27" t="s">
        <v>67</v>
      </c>
      <c r="O122" s="27" t="s">
        <v>59</v>
      </c>
      <c r="P122" s="27" t="s">
        <v>68</v>
      </c>
      <c r="Q122" s="27" t="s">
        <v>387</v>
      </c>
      <c r="R122" s="28" t="s">
        <v>418</v>
      </c>
      <c r="S122" s="28" t="s">
        <v>419</v>
      </c>
      <c r="T122" s="27" t="s">
        <v>187</v>
      </c>
      <c r="U122" s="27" t="s">
        <v>73</v>
      </c>
      <c r="V122" s="28" t="s">
        <v>188</v>
      </c>
    </row>
    <row r="123" spans="8:22" x14ac:dyDescent="0.25">
      <c r="H123" s="27" t="s">
        <v>383</v>
      </c>
      <c r="I123" s="27" t="s">
        <v>44</v>
      </c>
      <c r="J123" s="27" t="s">
        <v>45</v>
      </c>
      <c r="K123" s="27" t="s">
        <v>46</v>
      </c>
      <c r="L123" s="27" t="s">
        <v>183</v>
      </c>
      <c r="M123" s="27" t="s">
        <v>184</v>
      </c>
      <c r="N123" s="27" t="s">
        <v>67</v>
      </c>
      <c r="O123" s="27" t="s">
        <v>59</v>
      </c>
      <c r="P123" s="27" t="s">
        <v>68</v>
      </c>
      <c r="Q123" s="27" t="s">
        <v>390</v>
      </c>
      <c r="R123" s="28" t="s">
        <v>420</v>
      </c>
      <c r="S123" s="28" t="s">
        <v>421</v>
      </c>
      <c r="T123" s="27" t="s">
        <v>187</v>
      </c>
      <c r="U123" s="27" t="s">
        <v>73</v>
      </c>
      <c r="V123" s="28" t="s">
        <v>188</v>
      </c>
    </row>
    <row r="124" spans="8:22" x14ac:dyDescent="0.25">
      <c r="H124" s="27" t="s">
        <v>383</v>
      </c>
      <c r="I124" s="27" t="s">
        <v>44</v>
      </c>
      <c r="J124" s="27" t="s">
        <v>45</v>
      </c>
      <c r="K124" s="27" t="s">
        <v>46</v>
      </c>
      <c r="L124" s="27" t="s">
        <v>183</v>
      </c>
      <c r="M124" s="27" t="s">
        <v>184</v>
      </c>
      <c r="N124" s="27" t="s">
        <v>67</v>
      </c>
      <c r="O124" s="27" t="s">
        <v>59</v>
      </c>
      <c r="P124" s="27" t="s">
        <v>68</v>
      </c>
      <c r="Q124" s="27" t="s">
        <v>393</v>
      </c>
      <c r="R124" s="28" t="s">
        <v>422</v>
      </c>
      <c r="S124" s="28" t="s">
        <v>423</v>
      </c>
      <c r="T124" s="27" t="s">
        <v>187</v>
      </c>
      <c r="U124" s="27" t="s">
        <v>73</v>
      </c>
      <c r="V124" s="28" t="s">
        <v>188</v>
      </c>
    </row>
    <row r="125" spans="8:22" x14ac:dyDescent="0.25">
      <c r="H125" s="27" t="s">
        <v>383</v>
      </c>
      <c r="I125" s="27" t="s">
        <v>44</v>
      </c>
      <c r="J125" s="27" t="s">
        <v>45</v>
      </c>
      <c r="K125" s="27" t="s">
        <v>46</v>
      </c>
      <c r="L125" s="27" t="s">
        <v>183</v>
      </c>
      <c r="M125" s="27" t="s">
        <v>184</v>
      </c>
      <c r="N125" s="27" t="s">
        <v>67</v>
      </c>
      <c r="O125" s="27" t="s">
        <v>59</v>
      </c>
      <c r="P125" s="27" t="s">
        <v>68</v>
      </c>
      <c r="Q125" s="27" t="s">
        <v>396</v>
      </c>
      <c r="R125" s="28" t="s">
        <v>424</v>
      </c>
      <c r="S125" s="28" t="s">
        <v>425</v>
      </c>
      <c r="T125" s="27" t="s">
        <v>187</v>
      </c>
      <c r="U125" s="27" t="s">
        <v>73</v>
      </c>
      <c r="V125" s="28" t="s">
        <v>188</v>
      </c>
    </row>
    <row r="126" spans="8:22" x14ac:dyDescent="0.25">
      <c r="H126" s="27" t="s">
        <v>383</v>
      </c>
      <c r="I126" s="27" t="s">
        <v>44</v>
      </c>
      <c r="J126" s="27" t="s">
        <v>45</v>
      </c>
      <c r="K126" s="27" t="s">
        <v>46</v>
      </c>
      <c r="L126" s="27" t="s">
        <v>183</v>
      </c>
      <c r="M126" s="27" t="s">
        <v>184</v>
      </c>
      <c r="N126" s="27" t="s">
        <v>121</v>
      </c>
      <c r="O126" s="27" t="s">
        <v>83</v>
      </c>
      <c r="P126" s="27" t="s">
        <v>122</v>
      </c>
      <c r="Q126" s="27" t="s">
        <v>387</v>
      </c>
      <c r="R126" s="28" t="s">
        <v>426</v>
      </c>
      <c r="S126" s="28" t="s">
        <v>427</v>
      </c>
      <c r="T126" s="27" t="s">
        <v>187</v>
      </c>
      <c r="U126" s="27" t="s">
        <v>73</v>
      </c>
      <c r="V126" s="28" t="s">
        <v>188</v>
      </c>
    </row>
    <row r="127" spans="8:22" x14ac:dyDescent="0.25">
      <c r="H127" s="27" t="s">
        <v>383</v>
      </c>
      <c r="I127" s="27" t="s">
        <v>44</v>
      </c>
      <c r="J127" s="27" t="s">
        <v>45</v>
      </c>
      <c r="K127" s="27" t="s">
        <v>46</v>
      </c>
      <c r="L127" s="27" t="s">
        <v>183</v>
      </c>
      <c r="M127" s="27" t="s">
        <v>184</v>
      </c>
      <c r="N127" s="27" t="s">
        <v>121</v>
      </c>
      <c r="O127" s="27" t="s">
        <v>83</v>
      </c>
      <c r="P127" s="27" t="s">
        <v>122</v>
      </c>
      <c r="Q127" s="27" t="s">
        <v>384</v>
      </c>
      <c r="R127" s="28" t="s">
        <v>428</v>
      </c>
      <c r="S127" s="28" t="s">
        <v>429</v>
      </c>
      <c r="T127" s="27" t="s">
        <v>187</v>
      </c>
      <c r="U127" s="27" t="s">
        <v>73</v>
      </c>
      <c r="V127" s="28" t="s">
        <v>188</v>
      </c>
    </row>
    <row r="128" spans="8:22" x14ac:dyDescent="0.25">
      <c r="H128" s="27" t="s">
        <v>383</v>
      </c>
      <c r="I128" s="27" t="s">
        <v>44</v>
      </c>
      <c r="J128" s="27" t="s">
        <v>45</v>
      </c>
      <c r="K128" s="27" t="s">
        <v>46</v>
      </c>
      <c r="L128" s="27" t="s">
        <v>183</v>
      </c>
      <c r="M128" s="27" t="s">
        <v>184</v>
      </c>
      <c r="N128" s="27" t="s">
        <v>82</v>
      </c>
      <c r="O128" s="27" t="s">
        <v>83</v>
      </c>
      <c r="P128" s="27" t="s">
        <v>84</v>
      </c>
      <c r="Q128" s="27" t="s">
        <v>387</v>
      </c>
      <c r="R128" s="28" t="s">
        <v>430</v>
      </c>
      <c r="S128" s="28" t="s">
        <v>431</v>
      </c>
      <c r="T128" s="27" t="s">
        <v>193</v>
      </c>
      <c r="U128" s="27" t="s">
        <v>73</v>
      </c>
      <c r="V128" s="28" t="s">
        <v>194</v>
      </c>
    </row>
    <row r="129" spans="8:22" x14ac:dyDescent="0.25">
      <c r="H129" s="27" t="s">
        <v>383</v>
      </c>
      <c r="I129" s="27" t="s">
        <v>44</v>
      </c>
      <c r="J129" s="27" t="s">
        <v>45</v>
      </c>
      <c r="K129" s="27" t="s">
        <v>46</v>
      </c>
      <c r="L129" s="27" t="s">
        <v>183</v>
      </c>
      <c r="M129" s="27" t="s">
        <v>184</v>
      </c>
      <c r="N129" s="27" t="s">
        <v>82</v>
      </c>
      <c r="O129" s="27" t="s">
        <v>83</v>
      </c>
      <c r="P129" s="27" t="s">
        <v>84</v>
      </c>
      <c r="Q129" s="27" t="s">
        <v>384</v>
      </c>
      <c r="R129" s="28" t="s">
        <v>432</v>
      </c>
      <c r="S129" s="28" t="s">
        <v>433</v>
      </c>
      <c r="T129" s="27" t="s">
        <v>193</v>
      </c>
      <c r="U129" s="27" t="s">
        <v>73</v>
      </c>
      <c r="V129" s="28" t="s">
        <v>194</v>
      </c>
    </row>
    <row r="130" spans="8:22" x14ac:dyDescent="0.25">
      <c r="H130" s="27" t="s">
        <v>383</v>
      </c>
      <c r="I130" s="27" t="s">
        <v>44</v>
      </c>
      <c r="J130" s="27" t="s">
        <v>45</v>
      </c>
      <c r="K130" s="27" t="s">
        <v>46</v>
      </c>
      <c r="L130" s="27" t="s">
        <v>183</v>
      </c>
      <c r="M130" s="27" t="s">
        <v>184</v>
      </c>
      <c r="N130" s="27" t="s">
        <v>82</v>
      </c>
      <c r="O130" s="27" t="s">
        <v>83</v>
      </c>
      <c r="P130" s="27" t="s">
        <v>84</v>
      </c>
      <c r="Q130" s="27" t="s">
        <v>407</v>
      </c>
      <c r="R130" s="28" t="s">
        <v>434</v>
      </c>
      <c r="S130" s="28" t="s">
        <v>435</v>
      </c>
      <c r="T130" s="27" t="s">
        <v>193</v>
      </c>
      <c r="U130" s="27" t="s">
        <v>73</v>
      </c>
      <c r="V130" s="28" t="s">
        <v>194</v>
      </c>
    </row>
    <row r="131" spans="8:22" x14ac:dyDescent="0.25">
      <c r="H131" s="27" t="s">
        <v>383</v>
      </c>
      <c r="I131" s="27" t="s">
        <v>44</v>
      </c>
      <c r="J131" s="27" t="s">
        <v>45</v>
      </c>
      <c r="K131" s="27" t="s">
        <v>46</v>
      </c>
      <c r="L131" s="27" t="s">
        <v>183</v>
      </c>
      <c r="M131" s="27" t="s">
        <v>184</v>
      </c>
      <c r="N131" s="27" t="s">
        <v>82</v>
      </c>
      <c r="O131" s="27" t="s">
        <v>83</v>
      </c>
      <c r="P131" s="27" t="s">
        <v>106</v>
      </c>
      <c r="Q131" s="27" t="s">
        <v>387</v>
      </c>
      <c r="R131" s="28" t="s">
        <v>436</v>
      </c>
      <c r="S131" s="28" t="s">
        <v>437</v>
      </c>
      <c r="T131" s="27" t="s">
        <v>193</v>
      </c>
      <c r="U131" s="27" t="s">
        <v>73</v>
      </c>
      <c r="V131" s="28" t="s">
        <v>194</v>
      </c>
    </row>
    <row r="132" spans="8:22" x14ac:dyDescent="0.25">
      <c r="H132" s="27" t="s">
        <v>383</v>
      </c>
      <c r="I132" s="27" t="s">
        <v>44</v>
      </c>
      <c r="J132" s="27" t="s">
        <v>45</v>
      </c>
      <c r="K132" s="27" t="s">
        <v>46</v>
      </c>
      <c r="L132" s="27" t="s">
        <v>183</v>
      </c>
      <c r="M132" s="27" t="s">
        <v>184</v>
      </c>
      <c r="N132" s="27" t="s">
        <v>82</v>
      </c>
      <c r="O132" s="27" t="s">
        <v>83</v>
      </c>
      <c r="P132" s="27" t="s">
        <v>106</v>
      </c>
      <c r="Q132" s="27" t="s">
        <v>384</v>
      </c>
      <c r="R132" s="28" t="s">
        <v>438</v>
      </c>
      <c r="S132" s="28" t="s">
        <v>439</v>
      </c>
      <c r="T132" s="27" t="s">
        <v>193</v>
      </c>
      <c r="U132" s="27" t="s">
        <v>73</v>
      </c>
      <c r="V132" s="28" t="s">
        <v>194</v>
      </c>
    </row>
    <row r="133" spans="8:22" x14ac:dyDescent="0.25">
      <c r="H133" s="27" t="s">
        <v>383</v>
      </c>
      <c r="I133" s="27" t="s">
        <v>44</v>
      </c>
      <c r="J133" s="27" t="s">
        <v>45</v>
      </c>
      <c r="K133" s="27" t="s">
        <v>46</v>
      </c>
      <c r="L133" s="27" t="s">
        <v>183</v>
      </c>
      <c r="M133" s="27" t="s">
        <v>184</v>
      </c>
      <c r="N133" s="27" t="s">
        <v>82</v>
      </c>
      <c r="O133" s="27" t="s">
        <v>83</v>
      </c>
      <c r="P133" s="27" t="s">
        <v>106</v>
      </c>
      <c r="Q133" s="27" t="s">
        <v>407</v>
      </c>
      <c r="R133" s="28" t="s">
        <v>440</v>
      </c>
      <c r="S133" s="28" t="s">
        <v>441</v>
      </c>
      <c r="T133" s="27" t="s">
        <v>193</v>
      </c>
      <c r="U133" s="27" t="s">
        <v>73</v>
      </c>
      <c r="V133" s="28" t="s">
        <v>194</v>
      </c>
    </row>
    <row r="134" spans="8:22" x14ac:dyDescent="0.25">
      <c r="H134" s="27" t="s">
        <v>383</v>
      </c>
      <c r="I134" s="27" t="s">
        <v>44</v>
      </c>
      <c r="J134" s="27" t="s">
        <v>45</v>
      </c>
      <c r="K134" s="27" t="s">
        <v>46</v>
      </c>
      <c r="L134" s="27" t="s">
        <v>56</v>
      </c>
      <c r="M134" s="27" t="s">
        <v>57</v>
      </c>
      <c r="N134" s="27" t="s">
        <v>58</v>
      </c>
      <c r="O134" s="27" t="s">
        <v>59</v>
      </c>
      <c r="P134" s="27" t="s">
        <v>60</v>
      </c>
      <c r="Q134" s="27" t="s">
        <v>387</v>
      </c>
      <c r="R134" s="28" t="s">
        <v>442</v>
      </c>
      <c r="S134" s="28" t="s">
        <v>443</v>
      </c>
      <c r="T134" s="27" t="s">
        <v>54</v>
      </c>
      <c r="U134" s="27" t="s">
        <v>55</v>
      </c>
      <c r="V134" s="28"/>
    </row>
    <row r="135" spans="8:22" x14ac:dyDescent="0.25">
      <c r="H135" s="27" t="s">
        <v>444</v>
      </c>
      <c r="I135" s="27" t="s">
        <v>44</v>
      </c>
      <c r="J135" s="27" t="s">
        <v>45</v>
      </c>
      <c r="K135" s="27" t="s">
        <v>46</v>
      </c>
      <c r="L135" s="27" t="s">
        <v>65</v>
      </c>
      <c r="M135" s="27" t="s">
        <v>66</v>
      </c>
      <c r="N135" s="27" t="s">
        <v>268</v>
      </c>
      <c r="O135" s="27" t="s">
        <v>445</v>
      </c>
      <c r="P135" s="27" t="s">
        <v>270</v>
      </c>
      <c r="Q135" s="27"/>
      <c r="R135" s="28" t="s">
        <v>446</v>
      </c>
      <c r="S135" s="28" t="s">
        <v>447</v>
      </c>
      <c r="T135" s="27" t="s">
        <v>88</v>
      </c>
      <c r="U135" s="27" t="s">
        <v>73</v>
      </c>
      <c r="V135" s="28" t="s">
        <v>89</v>
      </c>
    </row>
    <row r="136" spans="8:22" x14ac:dyDescent="0.25">
      <c r="H136" s="27" t="s">
        <v>444</v>
      </c>
      <c r="I136" s="27" t="s">
        <v>44</v>
      </c>
      <c r="J136" s="27" t="s">
        <v>45</v>
      </c>
      <c r="K136" s="27" t="s">
        <v>46</v>
      </c>
      <c r="L136" s="27" t="s">
        <v>183</v>
      </c>
      <c r="M136" s="27" t="s">
        <v>184</v>
      </c>
      <c r="N136" s="27" t="s">
        <v>268</v>
      </c>
      <c r="O136" s="27" t="s">
        <v>445</v>
      </c>
      <c r="P136" s="27" t="s">
        <v>270</v>
      </c>
      <c r="Q136" s="27"/>
      <c r="R136" s="28" t="s">
        <v>448</v>
      </c>
      <c r="S136" s="28" t="s">
        <v>449</v>
      </c>
      <c r="T136" s="27" t="s">
        <v>193</v>
      </c>
      <c r="U136" s="27" t="s">
        <v>73</v>
      </c>
      <c r="V136" s="28" t="s">
        <v>194</v>
      </c>
    </row>
    <row r="137" spans="8:22" x14ac:dyDescent="0.25">
      <c r="H137" s="27" t="s">
        <v>444</v>
      </c>
      <c r="I137" s="27" t="s">
        <v>44</v>
      </c>
      <c r="J137" s="27" t="s">
        <v>45</v>
      </c>
      <c r="K137" s="27" t="s">
        <v>46</v>
      </c>
      <c r="L137" s="27" t="s">
        <v>56</v>
      </c>
      <c r="M137" s="27" t="s">
        <v>362</v>
      </c>
      <c r="N137" s="27" t="s">
        <v>249</v>
      </c>
      <c r="O137" s="27" t="s">
        <v>250</v>
      </c>
      <c r="P137" s="27" t="s">
        <v>60</v>
      </c>
      <c r="Q137" s="27" t="s">
        <v>450</v>
      </c>
      <c r="R137" s="28" t="s">
        <v>451</v>
      </c>
      <c r="S137" s="28" t="s">
        <v>452</v>
      </c>
      <c r="T137" s="27" t="s">
        <v>193</v>
      </c>
      <c r="U137" s="27" t="s">
        <v>73</v>
      </c>
      <c r="V137" s="28" t="s">
        <v>194</v>
      </c>
    </row>
  </sheetData>
  <dataValidations count="1">
    <dataValidation type="list" allowBlank="1" showInputMessage="1" showErrorMessage="1" error="Select a PLC from the dropdown list." sqref="C5" xr:uid="{0866359E-0849-4E00-BFDD-B7DF5935E73D}">
      <formula1>$CZ$1:$CZ$17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LC_QuickFilter">
                <anchor moveWithCells="1">
                  <from>
                    <xdr:col>1</xdr:col>
                    <xdr:colOff>142875</xdr:colOff>
                    <xdr:row>8</xdr:row>
                    <xdr:rowOff>123825</xdr:rowOff>
                  </from>
                  <to>
                    <xdr:col>3</xdr:col>
                    <xdr:colOff>342900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LC_ClearAllFilters">
                <anchor moveWithCells="1">
                  <from>
                    <xdr:col>1</xdr:col>
                    <xdr:colOff>142875</xdr:colOff>
                    <xdr:row>10</xdr:row>
                    <xdr:rowOff>114300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PLC_RebuildPLCList">
                <anchor moveWithCells="1">
                  <from>
                    <xdr:col>1</xdr:col>
                    <xdr:colOff>142875</xdr:colOff>
                    <xdr:row>12</xdr:row>
                    <xdr:rowOff>104775</xdr:rowOff>
                  </from>
                  <to>
                    <xdr:col>3</xdr:col>
                    <xdr:colOff>342900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PLC_SyncSelection">
                <anchor moveWithCells="1">
                  <from>
                    <xdr:col>1</xdr:col>
                    <xdr:colOff>142875</xdr:colOff>
                    <xdr:row>14</xdr:row>
                    <xdr:rowOff>104775</xdr:rowOff>
                  </from>
                  <to>
                    <xdr:col>3</xdr:col>
                    <xdr:colOff>342900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PLC_CleanupAndSync">
                <anchor moveWithCells="1">
                  <from>
                    <xdr:col>1</xdr:col>
                    <xdr:colOff>142875</xdr:colOff>
                    <xdr:row>21</xdr:row>
                    <xdr:rowOff>76200</xdr:rowOff>
                  </from>
                  <to>
                    <xdr:col>3</xdr:col>
                    <xdr:colOff>342900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PLC_StandardizeNames">
                <anchor moveWithCells="1">
                  <from>
                    <xdr:col>1</xdr:col>
                    <xdr:colOff>142875</xdr:colOff>
                    <xdr:row>24</xdr:row>
                    <xdr:rowOff>85725</xdr:rowOff>
                  </from>
                  <to>
                    <xdr:col>3</xdr:col>
                    <xdr:colOff>342900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PLC_FullCleanup">
                <anchor moveWithCells="1">
                  <from>
                    <xdr:col>1</xdr:col>
                    <xdr:colOff>142875</xdr:colOff>
                    <xdr:row>33</xdr:row>
                    <xdr:rowOff>142875</xdr:rowOff>
                  </from>
                  <to>
                    <xdr:col>3</xdr:col>
                    <xdr:colOff>342900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PLC_CheckHealth">
                <anchor moveWithCells="1">
                  <from>
                    <xdr:col>1</xdr:col>
                    <xdr:colOff>142875</xdr:colOff>
                    <xdr:row>19</xdr:row>
                    <xdr:rowOff>104775</xdr:rowOff>
                  </from>
                  <to>
                    <xdr:col>3</xdr:col>
                    <xdr:colOff>342900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StandardizeAllWorkbookText">
                <anchor moveWithCells="1">
                  <from>
                    <xdr:col>1</xdr:col>
                    <xdr:colOff>142875</xdr:colOff>
                    <xdr:row>27</xdr:row>
                    <xdr:rowOff>95250</xdr:rowOff>
                  </from>
                  <to>
                    <xdr:col>3</xdr:col>
                    <xdr:colOff>342900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Binary</vt:lpstr>
      <vt:lpstr>PLC-X Summary</vt:lpstr>
      <vt:lpstr>'PLC-X Summary'!selPLC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Lynk, Charles (Chase)</dc:creator>
  <cp:lastModifiedBy>Lynk, Charles (Chase)</cp:lastModifiedBy>
  <dcterms:created xsi:type="dcterms:W3CDTF">2025-09-04T14:33:50Z</dcterms:created>
  <dcterms:modified xsi:type="dcterms:W3CDTF">2026-03-24T17:21:20Z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B_TYPE_ID">
    <vt:lpwstr>Assorted_Tools</vt:lpwstr>
  </property>
  <property fmtid="{D5CDD505-2E9C-101B-9397-08002B2CF9AE}" pid="3" name="WB_SRC_SIGNATURE">
    <vt:lpwstr>-766171758:3</vt:lpwstr>
  </property>
  <property fmtid="{D5CDD505-2E9C-101B-9397-08002B2CF9AE}" pid="4" name="WB_LAST_SYNC_UTC">
    <vt:lpwstr>2026-03-24T17:55:19Z</vt:lpwstr>
  </property>
</Properties>
</file>