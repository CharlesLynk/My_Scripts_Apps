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ynkcn\Downloads\"/>
    </mc:Choice>
  </mc:AlternateContent>
  <xr:revisionPtr revIDLastSave="0" documentId="13_ncr:1_{508759B9-64DC-4DB8-A4AE-3243B71A7DDC}" xr6:coauthVersionLast="47" xr6:coauthVersionMax="47" xr10:uidLastSave="{00000000-0000-0000-0000-000000000000}"/>
  <bookViews>
    <workbookView xWindow="28950" yWindow="-16320" windowWidth="29040" windowHeight="15840" activeTab="2" xr2:uid="{B87A2903-5BA0-474C-BF8C-28648960584A}"/>
  </bookViews>
  <sheets>
    <sheet name="BASIC IO REQs" sheetId="1" r:id="rId1"/>
    <sheet name="DIMENSIONS" sheetId="5" r:id="rId2"/>
    <sheet name="PANEL DWG" sheetId="4" r:id="rId3"/>
    <sheet name="TYP PANEL CALCs" sheetId="3" r:id="rId4"/>
  </sheets>
  <definedNames>
    <definedName name="SubpanelHeight">DIMENSIONS!$H$67</definedName>
    <definedName name="SubpanelWidth">DIMENSIONS!$H$68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53" i="5" l="1"/>
  <c r="I47" i="5"/>
  <c r="I48" i="5"/>
  <c r="I49" i="5"/>
  <c r="I50" i="5"/>
  <c r="I51" i="5"/>
  <c r="I52" i="5"/>
  <c r="H52" i="5"/>
  <c r="H51" i="5"/>
  <c r="H50" i="5"/>
  <c r="H49" i="5"/>
  <c r="H48" i="5"/>
  <c r="G37" i="5"/>
  <c r="H46" i="5" s="1"/>
  <c r="H47" i="5"/>
  <c r="G16" i="5"/>
  <c r="S7" i="5"/>
  <c r="R7" i="5"/>
  <c r="Q7" i="5"/>
  <c r="P7" i="5"/>
  <c r="K16" i="5"/>
  <c r="L22" i="5"/>
  <c r="K22" i="5"/>
  <c r="G23" i="5"/>
  <c r="G38" i="5"/>
  <c r="G17" i="5" l="1"/>
  <c r="H23" i="5"/>
  <c r="L21" i="5"/>
  <c r="L20" i="5"/>
  <c r="H58" i="5"/>
  <c r="H39" i="5"/>
  <c r="K11" i="5"/>
  <c r="K6" i="5"/>
  <c r="K17" i="5"/>
  <c r="G11" i="5"/>
  <c r="G6" i="5"/>
  <c r="G7" i="5" s="1"/>
  <c r="H31" i="5"/>
  <c r="C9" i="5"/>
  <c r="H18" i="5" s="1"/>
  <c r="C8" i="5"/>
  <c r="H37" i="5" s="1"/>
  <c r="C7" i="5"/>
  <c r="H38" i="5" s="1"/>
  <c r="H19" i="5"/>
  <c r="C6" i="5"/>
  <c r="C5" i="5"/>
  <c r="D7" i="4"/>
  <c r="D8" i="4"/>
  <c r="D9" i="4"/>
  <c r="D10" i="4"/>
  <c r="D11" i="4"/>
  <c r="D12" i="4"/>
  <c r="D13" i="4"/>
  <c r="D14" i="4"/>
  <c r="D15" i="4"/>
  <c r="D16" i="4"/>
  <c r="D17" i="4"/>
  <c r="D18" i="4"/>
  <c r="D6" i="4"/>
  <c r="T26" i="3"/>
  <c r="R26" i="3"/>
  <c r="S26" i="3" s="1"/>
  <c r="K26" i="3"/>
  <c r="H26" i="3"/>
  <c r="I26" i="3" s="1"/>
  <c r="J26" i="3" s="1"/>
  <c r="R25" i="3"/>
  <c r="S25" i="3" s="1"/>
  <c r="K25" i="3"/>
  <c r="H25" i="3"/>
  <c r="I25" i="3" s="1"/>
  <c r="J25" i="3" s="1"/>
  <c r="R24" i="3"/>
  <c r="S24" i="3" s="1"/>
  <c r="L24" i="3"/>
  <c r="M24" i="3" s="1"/>
  <c r="K24" i="3"/>
  <c r="H24" i="3"/>
  <c r="I24" i="3" s="1"/>
  <c r="J24" i="3" s="1"/>
  <c r="R23" i="3"/>
  <c r="T23" i="3" s="1"/>
  <c r="K23" i="3"/>
  <c r="H23" i="3"/>
  <c r="L23" i="3" s="1"/>
  <c r="M23" i="3" s="1"/>
  <c r="R22" i="3"/>
  <c r="S22" i="3" s="1"/>
  <c r="K22" i="3"/>
  <c r="H22" i="3"/>
  <c r="I22" i="3" s="1"/>
  <c r="J22" i="3" s="1"/>
  <c r="R21" i="3"/>
  <c r="T21" i="3" s="1"/>
  <c r="K21" i="3"/>
  <c r="H21" i="3"/>
  <c r="I21" i="3" s="1"/>
  <c r="J21" i="3" s="1"/>
  <c r="R20" i="3"/>
  <c r="T20" i="3" s="1"/>
  <c r="K20" i="3"/>
  <c r="H20" i="3"/>
  <c r="L20" i="3" s="1"/>
  <c r="M20" i="3" s="1"/>
  <c r="R19" i="3"/>
  <c r="T19" i="3" s="1"/>
  <c r="K19" i="3"/>
  <c r="H19" i="3"/>
  <c r="L19" i="3" s="1"/>
  <c r="M19" i="3" s="1"/>
  <c r="R18" i="3"/>
  <c r="T18" i="3" s="1"/>
  <c r="K18" i="3"/>
  <c r="H18" i="3"/>
  <c r="I18" i="3" s="1"/>
  <c r="J18" i="3" s="1"/>
  <c r="R17" i="3"/>
  <c r="T17" i="3" s="1"/>
  <c r="K17" i="3"/>
  <c r="H17" i="3"/>
  <c r="I17" i="3" s="1"/>
  <c r="J17" i="3" s="1"/>
  <c r="R16" i="3"/>
  <c r="S16" i="3" s="1"/>
  <c r="K16" i="3"/>
  <c r="H16" i="3"/>
  <c r="L16" i="3" s="1"/>
  <c r="M16" i="3" s="1"/>
  <c r="R15" i="3"/>
  <c r="T15" i="3" s="1"/>
  <c r="K15" i="3"/>
  <c r="H15" i="3"/>
  <c r="I15" i="3" s="1"/>
  <c r="J15" i="3" s="1"/>
  <c r="R14" i="3"/>
  <c r="T14" i="3" s="1"/>
  <c r="K14" i="3"/>
  <c r="H14" i="3"/>
  <c r="I14" i="3" s="1"/>
  <c r="J14" i="3" s="1"/>
  <c r="R13" i="3"/>
  <c r="T13" i="3" s="1"/>
  <c r="L13" i="3"/>
  <c r="M13" i="3" s="1"/>
  <c r="K13" i="3"/>
  <c r="H13" i="3"/>
  <c r="I13" i="3" s="1"/>
  <c r="J13" i="3" s="1"/>
  <c r="R12" i="3"/>
  <c r="S12" i="3" s="1"/>
  <c r="K12" i="3"/>
  <c r="H12" i="3"/>
  <c r="L12" i="3" s="1"/>
  <c r="M12" i="3" s="1"/>
  <c r="R11" i="3"/>
  <c r="S11" i="3" s="1"/>
  <c r="K11" i="3"/>
  <c r="H11" i="3"/>
  <c r="L11" i="3" s="1"/>
  <c r="M11" i="3" s="1"/>
  <c r="R10" i="3"/>
  <c r="T10" i="3" s="1"/>
  <c r="K10" i="3"/>
  <c r="H10" i="3"/>
  <c r="I10" i="3" s="1"/>
  <c r="J10" i="3" s="1"/>
  <c r="S9" i="3"/>
  <c r="R9" i="3"/>
  <c r="T9" i="3" s="1"/>
  <c r="K9" i="3"/>
  <c r="H9" i="3"/>
  <c r="I9" i="3" s="1"/>
  <c r="J9" i="3" s="1"/>
  <c r="R8" i="3"/>
  <c r="T8" i="3" s="1"/>
  <c r="K8" i="3"/>
  <c r="H8" i="3"/>
  <c r="I8" i="3" s="1"/>
  <c r="J8" i="3" s="1"/>
  <c r="R7" i="3"/>
  <c r="S7" i="3" s="1"/>
  <c r="K7" i="3"/>
  <c r="H7" i="3"/>
  <c r="I7" i="3" s="1"/>
  <c r="J7" i="3" s="1"/>
  <c r="R6" i="3"/>
  <c r="T6" i="3" s="1"/>
  <c r="L6" i="3"/>
  <c r="M6" i="3" s="1"/>
  <c r="K6" i="3"/>
  <c r="H6" i="3"/>
  <c r="I6" i="3" s="1"/>
  <c r="J6" i="3" s="1"/>
  <c r="R5" i="3"/>
  <c r="T5" i="3" s="1"/>
  <c r="K5" i="3"/>
  <c r="H5" i="3"/>
  <c r="I5" i="3" s="1"/>
  <c r="J5" i="3" s="1"/>
  <c r="R4" i="3"/>
  <c r="T4" i="3" s="1"/>
  <c r="K4" i="3"/>
  <c r="H4" i="3"/>
  <c r="L4" i="3" s="1"/>
  <c r="M4" i="3" s="1"/>
  <c r="I25" i="1"/>
  <c r="I24" i="1"/>
  <c r="I23" i="1"/>
  <c r="I22" i="1"/>
  <c r="C17" i="1"/>
  <c r="D27" i="1"/>
  <c r="F9" i="1"/>
  <c r="G9" i="1"/>
  <c r="H9" i="1"/>
  <c r="E9" i="1"/>
  <c r="H53" i="5" l="1"/>
  <c r="H59" i="5"/>
  <c r="H12" i="5"/>
  <c r="H17" i="5"/>
  <c r="H7" i="5"/>
  <c r="L16" i="5"/>
  <c r="H11" i="5"/>
  <c r="L17" i="5"/>
  <c r="H6" i="5"/>
  <c r="L18" i="5"/>
  <c r="H16" i="5"/>
  <c r="I11" i="3"/>
  <c r="J11" i="3" s="1"/>
  <c r="T22" i="3"/>
  <c r="S6" i="3"/>
  <c r="I16" i="3"/>
  <c r="J16" i="3" s="1"/>
  <c r="L26" i="3"/>
  <c r="M26" i="3" s="1"/>
  <c r="L21" i="3"/>
  <c r="M21" i="3" s="1"/>
  <c r="I4" i="3"/>
  <c r="J4" i="3" s="1"/>
  <c r="L9" i="3"/>
  <c r="M9" i="3" s="1"/>
  <c r="S21" i="3"/>
  <c r="L8" i="3"/>
  <c r="M8" i="3" s="1"/>
  <c r="L14" i="3"/>
  <c r="M14" i="3" s="1"/>
  <c r="L10" i="3"/>
  <c r="M10" i="3" s="1"/>
  <c r="L5" i="3"/>
  <c r="M5" i="3" s="1"/>
  <c r="L17" i="3"/>
  <c r="M17" i="3" s="1"/>
  <c r="I19" i="3"/>
  <c r="J19" i="3" s="1"/>
  <c r="L25" i="3"/>
  <c r="M25" i="3" s="1"/>
  <c r="T11" i="3"/>
  <c r="T25" i="3"/>
  <c r="L7" i="3"/>
  <c r="M7" i="3" s="1"/>
  <c r="T12" i="3"/>
  <c r="T24" i="3"/>
  <c r="S4" i="3"/>
  <c r="T7" i="3"/>
  <c r="S13" i="3"/>
  <c r="T16" i="3"/>
  <c r="L22" i="3"/>
  <c r="M22" i="3" s="1"/>
  <c r="S10" i="3"/>
  <c r="S19" i="3"/>
  <c r="I20" i="3"/>
  <c r="J20" i="3" s="1"/>
  <c r="S8" i="3"/>
  <c r="I23" i="3"/>
  <c r="J23" i="3" s="1"/>
  <c r="S5" i="3"/>
  <c r="S14" i="3"/>
  <c r="S17" i="3"/>
  <c r="S20" i="3"/>
  <c r="S23" i="3"/>
  <c r="L15" i="3"/>
  <c r="M15" i="3" s="1"/>
  <c r="L18" i="3"/>
  <c r="M18" i="3" s="1"/>
  <c r="I12" i="3"/>
  <c r="J12" i="3" s="1"/>
  <c r="S15" i="3"/>
  <c r="S18" i="3"/>
</calcChain>
</file>

<file path=xl/sharedStrings.xml><?xml version="1.0" encoding="utf-8"?>
<sst xmlns="http://schemas.openxmlformats.org/spreadsheetml/2006/main" count="177" uniqueCount="123">
  <si>
    <t>DI</t>
  </si>
  <si>
    <t>DO</t>
  </si>
  <si>
    <t>AI</t>
  </si>
  <si>
    <t>AO</t>
  </si>
  <si>
    <t>% Spares Required</t>
  </si>
  <si>
    <t>Chassis-Based</t>
  </si>
  <si>
    <t>Non-IO</t>
  </si>
  <si>
    <t>Yes</t>
  </si>
  <si>
    <t>Points of IO Required</t>
  </si>
  <si>
    <t>-</t>
  </si>
  <si>
    <t>PLCs of Same Size?</t>
  </si>
  <si>
    <t>Sum IO</t>
  </si>
  <si>
    <t>2 Pts</t>
  </si>
  <si>
    <t>Quantity/Type of IO Modules Provided (Between All PLCs)</t>
  </si>
  <si>
    <t>Spare</t>
  </si>
  <si>
    <t>Req. Spare Slots/Chassis</t>
  </si>
  <si>
    <t>Number of PLCs in Panel</t>
  </si>
  <si>
    <t>Req. Spares</t>
  </si>
  <si>
    <t>PLC/Module Options</t>
  </si>
  <si>
    <t>4 Pts</t>
  </si>
  <si>
    <t>8 Pts</t>
  </si>
  <si>
    <t>16 Pts</t>
  </si>
  <si>
    <t>32 Pts</t>
  </si>
  <si>
    <t>Circuit Breakers</t>
  </si>
  <si>
    <t>UPS</t>
  </si>
  <si>
    <t>Surge Protectors</t>
  </si>
  <si>
    <t>Digital Inputs</t>
  </si>
  <si>
    <t>Feed Through TBs</t>
  </si>
  <si>
    <t>Fused TBs</t>
  </si>
  <si>
    <t>Digital Outputs</t>
  </si>
  <si>
    <t>Width</t>
  </si>
  <si>
    <t>Quantity</t>
  </si>
  <si>
    <t>Analog Inputs</t>
  </si>
  <si>
    <t>Analog Outputs</t>
  </si>
  <si>
    <t>Multilevel Relay</t>
  </si>
  <si>
    <t>Other DIN Rail Items</t>
  </si>
  <si>
    <t>End Clamps/Labels</t>
  </si>
  <si>
    <t>Point of IO</t>
  </si>
  <si>
    <t>DIN Rail Length Calculation Factors</t>
  </si>
  <si>
    <t>Wireway Proportion</t>
  </si>
  <si>
    <t>Subpanel Width</t>
  </si>
  <si>
    <t>Open Space Proportion</t>
  </si>
  <si>
    <t>Total Wireway Width</t>
  </si>
  <si>
    <t>Avg Wireway Width/Column</t>
  </si>
  <si>
    <t>x</t>
  </si>
  <si>
    <t>Avg Width/ Column</t>
  </si>
  <si>
    <t>DIN Rail Columns</t>
  </si>
  <si>
    <t>PLC Width Reference Table</t>
  </si>
  <si>
    <t>PLC Type</t>
  </si>
  <si>
    <t>DIN Rail/ PLC Rows</t>
  </si>
  <si>
    <t>Subpanel Height</t>
  </si>
  <si>
    <t>Height Used for DIN Rails</t>
  </si>
  <si>
    <t>Avg Wireway Height/Row</t>
  </si>
  <si>
    <t>DIN Rail Proportion</t>
  </si>
  <si>
    <t>Number of PLCs</t>
  </si>
  <si>
    <t>PLC/Wireway Proportion</t>
  </si>
  <si>
    <t>Panel Width Considerations</t>
  </si>
  <si>
    <t>Panel Height Considerations</t>
  </si>
  <si>
    <t>DIN Rails/Inch of Panel Width</t>
  </si>
  <si>
    <t>Safety Factor</t>
  </si>
  <si>
    <t>Number of Columns</t>
  </si>
  <si>
    <t>Horiz. DIN Rows Required</t>
  </si>
  <si>
    <t>Wireway Width</t>
  </si>
  <si>
    <t>Separate Power Rail</t>
  </si>
  <si>
    <t>Manual Override</t>
  </si>
  <si>
    <t>Height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</si>
  <si>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</si>
  <si>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</si>
  <si>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</si>
  <si>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</si>
  <si>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</si>
  <si>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</si>
  <si>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</si>
  <si>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</si>
  <si>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</si>
  <si>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</si>
  <si>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</si>
  <si>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</si>
  <si>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</si>
  <si>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Wireway Label</t>
  </si>
  <si>
    <t>AC (Power, DI, DO)</t>
  </si>
  <si>
    <t>DC (Power, AI, AO)</t>
  </si>
  <si>
    <t>Vertical Wire Channels</t>
  </si>
  <si>
    <t>Fused TB</t>
  </si>
  <si>
    <t>Feed Through TB</t>
  </si>
  <si>
    <t>Fused Multilevel TB</t>
  </si>
  <si>
    <t>Device DIN Rail Width</t>
  </si>
  <si>
    <t>Circuit Breaker</t>
  </si>
  <si>
    <t>Surge Protector</t>
  </si>
  <si>
    <t>DC Power Supply</t>
  </si>
  <si>
    <t>Redundancy Module</t>
  </si>
  <si>
    <t>AB ControlLogix 17 Slot</t>
  </si>
  <si>
    <t>AB ControlLogix 13 Slot</t>
  </si>
  <si>
    <t>AB ControlLogix 10 Slot</t>
  </si>
  <si>
    <t>AB ControlLogix 7 Slot</t>
  </si>
  <si>
    <t>AB ControlLogix 4 Slot</t>
  </si>
  <si>
    <t>AB CompactLogix 5380 Controller</t>
  </si>
  <si>
    <t>AB CompactLogix 5069 Module</t>
  </si>
  <si>
    <t>Additional TBs/Relay</t>
  </si>
  <si>
    <t>Control/Interlocking Relays</t>
  </si>
  <si>
    <t>Control Relay</t>
  </si>
  <si>
    <t>Power Outlet</t>
  </si>
  <si>
    <t>Vertical</t>
  </si>
  <si>
    <t>DC Power Dist. Mounting</t>
  </si>
  <si>
    <t>Spare Connections</t>
  </si>
  <si>
    <t>Non-IO Relays</t>
  </si>
  <si>
    <t>AC Distribution</t>
  </si>
  <si>
    <t>DC Distribution</t>
  </si>
  <si>
    <t>Monitoring Relays</t>
  </si>
  <si>
    <t>DC Power Supplies</t>
  </si>
  <si>
    <t>Accessories (Fused)</t>
  </si>
  <si>
    <t>Accessories (CB)</t>
  </si>
  <si>
    <t xml:space="preserve">Spare Slot Allotment </t>
  </si>
  <si>
    <t>Minimum Spare Slots</t>
  </si>
  <si>
    <t>Minimum % Spares</t>
  </si>
  <si>
    <t>% Spares (Minimum 2)</t>
  </si>
  <si>
    <t>Spare DIN Rail Space</t>
  </si>
  <si>
    <t>DI's + Spare</t>
  </si>
  <si>
    <t>DO's + Spare</t>
  </si>
  <si>
    <t>AI's + Spare</t>
  </si>
  <si>
    <t>AO's + Spare</t>
  </si>
  <si>
    <t>Redundancy Modules</t>
  </si>
  <si>
    <t>All DIN Length Required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</si>
</sst>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\ &quot;in&quot;"/>
    <numFmt numFmtId="165" formatCode="0.000"/>
    <numFmt numFmtId="166" formatCode="0.0000"/>
  </numFmts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theme="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medium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thin">
        <color theme="4" tint="0.39997558519241921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theme="4" tint="0.39997558519241921"/>
      </bottom>
      <diagonal/>
    </border>
    <border>
      <left/>
      <right style="medium">
        <color indexed="64"/>
      </right>
      <top/>
      <bottom style="thin">
        <color theme="4" tint="0.39997558519241921"/>
      </bottom>
      <diagonal/>
    </border>
    <border>
      <left/>
      <right style="medium">
        <color indexed="64"/>
      </right>
      <top style="thin">
        <color theme="4" tint="0.39997558519241921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20">
    <xf numFmtId="0" fontId="0" fillId="0" borderId="0" xfId="0"/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quotePrefix="1" applyBorder="1" applyAlignment="1">
      <alignment horizontal="center" vertical="center"/>
    </xf>
    <xf numFmtId="9" fontId="0" fillId="2" borderId="1" xfId="0" applyNumberForma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2" borderId="7" xfId="0" applyFill="1" applyBorder="1" applyAlignment="1">
      <alignment horizontal="center" vertical="center"/>
    </xf>
    <xf numFmtId="0" fontId="0" fillId="0" borderId="3" xfId="0" applyBorder="1" applyAlignment="1">
      <alignment horizontal="left" vertical="center"/>
    </xf>
    <xf numFmtId="0" fontId="0" fillId="2" borderId="5" xfId="0" applyFill="1" applyBorder="1" applyAlignment="1">
      <alignment horizontal="center" vertical="center"/>
    </xf>
    <xf numFmtId="0" fontId="0" fillId="2" borderId="1" xfId="0" applyNumberFormat="1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/>
    </xf>
    <xf numFmtId="164" fontId="0" fillId="2" borderId="1" xfId="0" applyNumberFormat="1" applyFill="1" applyBorder="1" applyAlignment="1">
      <alignment horizontal="center" vertical="center"/>
    </xf>
    <xf numFmtId="164" fontId="0" fillId="0" borderId="1" xfId="0" applyNumberFormat="1" applyFill="1" applyBorder="1" applyAlignment="1">
      <alignment horizontal="center" vertical="center"/>
    </xf>
    <xf numFmtId="164" fontId="0" fillId="0" borderId="0" xfId="0" applyNumberForma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 wrapText="1"/>
    </xf>
    <xf numFmtId="164" fontId="0" fillId="0" borderId="0" xfId="0" applyNumberFormat="1" applyFill="1" applyBorder="1" applyAlignment="1">
      <alignment horizontal="center" vertical="top"/>
    </xf>
    <xf numFmtId="165" fontId="0" fillId="0" borderId="0" xfId="0" applyNumberFormat="1" applyAlignment="1">
      <alignment horizontal="center" vertical="top"/>
    </xf>
    <xf numFmtId="164" fontId="0" fillId="2" borderId="0" xfId="0" applyNumberFormat="1" applyFill="1" applyBorder="1" applyAlignment="1">
      <alignment horizontal="center" vertical="top"/>
    </xf>
    <xf numFmtId="0" fontId="0" fillId="0" borderId="5" xfId="0" applyBorder="1" applyAlignment="1">
      <alignment horizontal="right" vertical="center"/>
    </xf>
    <xf numFmtId="0" fontId="0" fillId="0" borderId="5" xfId="0" applyBorder="1" applyAlignment="1">
      <alignment horizontal="left" vertical="center"/>
    </xf>
    <xf numFmtId="164" fontId="0" fillId="2" borderId="3" xfId="0" applyNumberForma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0" xfId="0" applyBorder="1" applyAlignment="1">
      <alignment horizontal="left" vertical="center"/>
    </xf>
    <xf numFmtId="164" fontId="0" fillId="2" borderId="11" xfId="0" applyNumberFormat="1" applyFill="1" applyBorder="1" applyAlignment="1">
      <alignment horizontal="center" vertical="center"/>
    </xf>
    <xf numFmtId="164" fontId="0" fillId="2" borderId="9" xfId="0" applyNumberFormat="1" applyFont="1" applyFill="1" applyBorder="1" applyAlignment="1">
      <alignment horizontal="center" vertical="top"/>
    </xf>
    <xf numFmtId="0" fontId="0" fillId="2" borderId="9" xfId="0" applyFont="1" applyFill="1" applyBorder="1" applyAlignment="1">
      <alignment horizontal="center" vertical="top"/>
    </xf>
    <xf numFmtId="0" fontId="1" fillId="3" borderId="12" xfId="0" applyFont="1" applyFill="1" applyBorder="1" applyAlignment="1">
      <alignment horizontal="center" vertical="center" wrapText="1"/>
    </xf>
    <xf numFmtId="0" fontId="0" fillId="2" borderId="13" xfId="0" applyFont="1" applyFill="1" applyBorder="1" applyAlignment="1">
      <alignment horizontal="center" vertical="top"/>
    </xf>
    <xf numFmtId="164" fontId="0" fillId="2" borderId="13" xfId="0" applyNumberFormat="1" applyFont="1" applyFill="1" applyBorder="1" applyAlignment="1">
      <alignment horizontal="center" vertical="top"/>
    </xf>
    <xf numFmtId="165" fontId="0" fillId="0" borderId="0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top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64" fontId="0" fillId="2" borderId="8" xfId="0" applyNumberFormat="1" applyFill="1" applyBorder="1" applyAlignment="1">
      <alignment horizontal="center" vertical="center"/>
    </xf>
    <xf numFmtId="165" fontId="0" fillId="0" borderId="0" xfId="0" applyNumberFormat="1" applyFill="1" applyAlignment="1">
      <alignment horizontal="center" vertical="top"/>
    </xf>
    <xf numFmtId="0" fontId="0" fillId="0" borderId="0" xfId="0" applyFill="1" applyAlignment="1">
      <alignment horizontal="center" vertical="top"/>
    </xf>
    <xf numFmtId="165" fontId="0" fillId="0" borderId="13" xfId="0" applyNumberFormat="1" applyFont="1" applyFill="1" applyBorder="1" applyAlignment="1">
      <alignment horizontal="center" vertical="top"/>
    </xf>
    <xf numFmtId="165" fontId="0" fillId="0" borderId="0" xfId="0" applyNumberFormat="1" applyFill="1" applyBorder="1" applyAlignment="1">
      <alignment horizontal="center" vertical="center"/>
    </xf>
    <xf numFmtId="164" fontId="0" fillId="2" borderId="0" xfId="0" applyNumberFormat="1" applyFont="1" applyFill="1" applyBorder="1" applyAlignment="1">
      <alignment horizontal="center" vertical="top"/>
    </xf>
    <xf numFmtId="0" fontId="0" fillId="0" borderId="0" xfId="0" applyFont="1" applyFill="1" applyBorder="1" applyAlignment="1">
      <alignment horizontal="center" vertical="top"/>
    </xf>
    <xf numFmtId="0" fontId="0" fillId="0" borderId="0" xfId="0" applyBorder="1" applyAlignment="1">
      <alignment horizontal="center" vertical="center"/>
    </xf>
    <xf numFmtId="164" fontId="0" fillId="2" borderId="9" xfId="0" applyNumberFormat="1" applyFill="1" applyBorder="1" applyAlignment="1">
      <alignment horizontal="center" vertical="top"/>
    </xf>
    <xf numFmtId="165" fontId="0" fillId="0" borderId="0" xfId="0" applyNumberFormat="1" applyFont="1" applyFill="1" applyBorder="1" applyAlignment="1">
      <alignment horizontal="center" vertical="top"/>
    </xf>
    <xf numFmtId="165" fontId="0" fillId="0" borderId="9" xfId="0" applyNumberFormat="1" applyFill="1" applyBorder="1" applyAlignment="1">
      <alignment horizontal="center" vertical="center"/>
    </xf>
    <xf numFmtId="165" fontId="0" fillId="0" borderId="0" xfId="0" applyNumberFormat="1" applyFill="1" applyBorder="1" applyAlignment="1">
      <alignment horizontal="center" vertical="top"/>
    </xf>
    <xf numFmtId="166" fontId="0" fillId="0" borderId="0" xfId="0" applyNumberFormat="1" applyFill="1" applyAlignment="1">
      <alignment horizontal="center" vertical="top"/>
    </xf>
    <xf numFmtId="9" fontId="0" fillId="2" borderId="0" xfId="0" applyNumberFormat="1" applyFill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0" borderId="17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0" fillId="2" borderId="17" xfId="0" applyFill="1" applyBorder="1" applyAlignment="1">
      <alignment horizontal="center" vertical="top"/>
    </xf>
    <xf numFmtId="164" fontId="0" fillId="0" borderId="18" xfId="0" applyNumberFormat="1" applyFill="1" applyBorder="1" applyAlignment="1">
      <alignment horizontal="center" vertical="top"/>
    </xf>
    <xf numFmtId="0" fontId="0" fillId="2" borderId="19" xfId="0" applyFill="1" applyBorder="1" applyAlignment="1">
      <alignment horizontal="center" vertical="top"/>
    </xf>
    <xf numFmtId="164" fontId="0" fillId="2" borderId="20" xfId="0" applyNumberFormat="1" applyFill="1" applyBorder="1" applyAlignment="1">
      <alignment horizontal="center" vertical="top"/>
    </xf>
    <xf numFmtId="165" fontId="0" fillId="0" borderId="20" xfId="0" applyNumberFormat="1" applyFill="1" applyBorder="1" applyAlignment="1">
      <alignment horizontal="center" vertical="top"/>
    </xf>
    <xf numFmtId="164" fontId="0" fillId="0" borderId="20" xfId="0" applyNumberFormat="1" applyFill="1" applyBorder="1" applyAlignment="1">
      <alignment horizontal="center" vertical="top"/>
    </xf>
    <xf numFmtId="164" fontId="0" fillId="0" borderId="21" xfId="0" applyNumberFormat="1" applyFill="1" applyBorder="1" applyAlignment="1">
      <alignment horizontal="center" vertical="top"/>
    </xf>
    <xf numFmtId="0" fontId="1" fillId="3" borderId="26" xfId="0" applyFont="1" applyFill="1" applyBorder="1" applyAlignment="1">
      <alignment horizontal="center" vertical="center" wrapText="1"/>
    </xf>
    <xf numFmtId="0" fontId="1" fillId="3" borderId="27" xfId="0" applyFont="1" applyFill="1" applyBorder="1" applyAlignment="1">
      <alignment horizontal="center" vertical="center" wrapText="1"/>
    </xf>
    <xf numFmtId="0" fontId="0" fillId="2" borderId="22" xfId="0" applyFont="1" applyFill="1" applyBorder="1" applyAlignment="1">
      <alignment horizontal="center" vertical="top"/>
    </xf>
    <xf numFmtId="164" fontId="0" fillId="0" borderId="23" xfId="0" applyNumberFormat="1" applyFill="1" applyBorder="1" applyAlignment="1">
      <alignment horizontal="center" vertical="center"/>
    </xf>
    <xf numFmtId="164" fontId="0" fillId="0" borderId="28" xfId="0" applyNumberFormat="1" applyFont="1" applyFill="1" applyBorder="1" applyAlignment="1">
      <alignment horizontal="center" vertical="top"/>
    </xf>
    <xf numFmtId="164" fontId="0" fillId="0" borderId="18" xfId="0" applyNumberFormat="1" applyFill="1" applyBorder="1" applyAlignment="1">
      <alignment horizontal="center" vertical="center"/>
    </xf>
    <xf numFmtId="164" fontId="0" fillId="0" borderId="18" xfId="0" applyNumberFormat="1" applyFont="1" applyFill="1" applyBorder="1" applyAlignment="1">
      <alignment horizontal="center" vertical="center"/>
    </xf>
    <xf numFmtId="164" fontId="0" fillId="0" borderId="18" xfId="0" applyNumberFormat="1" applyFont="1" applyFill="1" applyBorder="1" applyAlignment="1">
      <alignment horizontal="center" vertical="top"/>
    </xf>
    <xf numFmtId="0" fontId="0" fillId="2" borderId="24" xfId="0" applyFont="1" applyFill="1" applyBorder="1" applyAlignment="1">
      <alignment horizontal="center" vertical="top"/>
    </xf>
    <xf numFmtId="0" fontId="0" fillId="2" borderId="25" xfId="0" applyFont="1" applyFill="1" applyBorder="1" applyAlignment="1">
      <alignment horizontal="center" vertical="top"/>
    </xf>
    <xf numFmtId="164" fontId="0" fillId="2" borderId="25" xfId="0" applyNumberFormat="1" applyFont="1" applyFill="1" applyBorder="1" applyAlignment="1">
      <alignment horizontal="center" vertical="top"/>
    </xf>
    <xf numFmtId="165" fontId="0" fillId="0" borderId="20" xfId="0" applyNumberFormat="1" applyFont="1" applyFill="1" applyBorder="1" applyAlignment="1">
      <alignment horizontal="center" vertical="top"/>
    </xf>
    <xf numFmtId="164" fontId="0" fillId="0" borderId="21" xfId="0" applyNumberFormat="1" applyFont="1" applyFill="1" applyBorder="1" applyAlignment="1">
      <alignment horizontal="center" vertical="top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3" fillId="0" borderId="1" xfId="0" applyNumberFormat="1" applyFont="1" applyFill="1" applyBorder="1" applyAlignment="1">
      <alignment horizontal="center" vertical="center"/>
    </xf>
    <xf numFmtId="164" fontId="3" fillId="2" borderId="0" xfId="0" applyNumberFormat="1" applyFont="1" applyFill="1" applyBorder="1" applyAlignment="1">
      <alignment horizontal="center" vertical="center"/>
    </xf>
    <xf numFmtId="0" fontId="0" fillId="0" borderId="0" xfId="0" applyNumberFormat="1"/>
    <xf numFmtId="0" fontId="0" fillId="0" borderId="2" xfId="0" applyFill="1" applyBorder="1" applyAlignment="1">
      <alignment horizontal="center" vertical="center"/>
    </xf>
    <xf numFmtId="0" fontId="0" fillId="0" borderId="0" xfId="0" applyFill="1"/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64" fontId="0" fillId="0" borderId="1" xfId="0" quotePrefix="1" applyNumberForma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Fill="1" applyAlignment="1">
      <alignment horizontal="center"/>
    </xf>
    <xf numFmtId="9" fontId="0" fillId="2" borderId="8" xfId="0" applyNumberFormat="1" applyFill="1" applyBorder="1" applyAlignment="1">
      <alignment horizontal="center" vertical="center"/>
    </xf>
    <xf numFmtId="0" fontId="0" fillId="0" borderId="29" xfId="0" applyBorder="1" applyAlignment="1">
      <alignment horizontal="center"/>
    </xf>
    <xf numFmtId="0" fontId="0" fillId="2" borderId="30" xfId="0" applyFill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9" fontId="0" fillId="2" borderId="38" xfId="0" applyNumberFormat="1" applyFill="1" applyBorder="1" applyAlignment="1">
      <alignment horizontal="center" vertical="center"/>
    </xf>
    <xf numFmtId="0" fontId="0" fillId="2" borderId="31" xfId="0" applyFill="1" applyBorder="1" applyAlignment="1">
      <alignment horizontal="center"/>
    </xf>
    <xf numFmtId="0" fontId="0" fillId="0" borderId="32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4" xfId="0" applyBorder="1" applyAlignment="1">
      <alignment horizontal="center" vertical="top"/>
    </xf>
    <xf numFmtId="0" fontId="0" fillId="0" borderId="15" xfId="0" applyBorder="1" applyAlignment="1">
      <alignment horizontal="center" vertical="top"/>
    </xf>
    <xf numFmtId="0" fontId="0" fillId="0" borderId="16" xfId="0" applyBorder="1" applyAlignment="1">
      <alignment horizontal="center" vertical="top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</cellXfs>
  <cellStyles count="1">
    <cellStyle name="Normal" xfId="0" builtinId="0"/>
  </cellStyles>
  <dxfs count="36">
    <dxf>
      <numFmt numFmtId="164" formatCode="0.00\ &quot;in&quot;"/>
      <fill>
        <patternFill patternType="solid">
          <fgColor indexed="64"/>
          <bgColor theme="8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\ &quot;in&quot;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\ &quot;in&quot;"/>
      <fill>
        <patternFill patternType="solid">
          <fgColor indexed="64"/>
          <bgColor theme="8" tint="0.59999389629810485"/>
        </patternFill>
      </fill>
      <alignment horizontal="center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\ &quot;in&quot;"/>
      <fill>
        <patternFill patternType="solid">
          <fgColor indexed="64"/>
          <bgColor theme="8" tint="0.59999389629810485"/>
        </patternFill>
      </fill>
      <alignment horizontal="center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8" tint="0.59999389629810485"/>
        </patternFill>
      </fill>
      <alignment horizontal="center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64" formatCode="0.00\ &quot;in&quot;"/>
      <fill>
        <patternFill patternType="solid">
          <fgColor indexed="64"/>
          <bgColor theme="8" tint="0.59999389629810485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theme="4" tint="0.39997558519241921"/>
        </top>
        <bottom/>
        <vertical/>
      </border>
    </dxf>
    <dxf>
      <numFmt numFmtId="164" formatCode="0.00\ &quot;in&quot;"/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  <border diagonalUp="0" diagonalDown="0">
        <left/>
        <right style="medium">
          <color indexed="64"/>
        </right>
        <vertical/>
      </border>
    </dxf>
    <dxf>
      <numFmt numFmtId="165" formatCode="0.000"/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</dxf>
    <dxf>
      <numFmt numFmtId="165" formatCode="0.000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numFmt numFmtId="164" formatCode="0.00\ &quot;in&quot;"/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</dxf>
    <dxf>
      <numFmt numFmtId="165" formatCode="0.000"/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</dxf>
    <dxf>
      <numFmt numFmtId="164" formatCode="0.00\ &quot;in&quot;"/>
      <fill>
        <patternFill patternType="solid">
          <fgColor indexed="64"/>
          <bgColor theme="8" tint="0.59999389629810485"/>
        </patternFill>
      </fill>
      <alignment horizontal="center" vertical="top" textRotation="0" wrapText="0" indent="0" justifyLastLine="0" shrinkToFit="0" readingOrder="0"/>
    </dxf>
    <dxf>
      <fill>
        <patternFill patternType="solid">
          <fgColor indexed="64"/>
          <bgColor theme="8" tint="0.59999389629810485"/>
        </patternFill>
      </fill>
      <alignment horizontal="center" vertical="top" textRotation="0" wrapText="0" indent="0" justifyLastLine="0" shrinkToFit="0" readingOrder="0"/>
    </dxf>
    <dxf>
      <fill>
        <patternFill patternType="solid">
          <fgColor indexed="64"/>
          <bgColor theme="8" tint="0.59999389629810485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/>
        <vertical/>
      </border>
    </dxf>
    <dxf>
      <alignment horizontal="center" vertical="top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color theme="0" tint="-0.14996795556505021"/>
      </font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 tint="-0.14996795556505021"/>
      </font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 tint="-0.14996795556505021"/>
      </font>
      <fill>
        <patternFill patternType="none">
          <bgColor auto="1"/>
        </patternFill>
      </fill>
    </dxf>
    <dxf>
      <font>
        <color theme="0" tint="-0.14996795556505021"/>
      </font>
      <fill>
        <patternFill patternType="none">
          <bgColor auto="1"/>
        </patternFill>
      </fill>
    </dxf>
    <dxf>
      <font>
        <color theme="0" tint="-0.14996795556505021"/>
      </font>
      <fill>
        <patternFill patternType="none">
          <bgColor auto="1"/>
        </patternFill>
      </fill>
    </dxf>
    <dxf>
      <font>
        <color theme="0" tint="-0.14996795556505021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Vertical DIN Rails per Inch of Panel Width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DIN Rails per Inch of Panel Width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backward val="25"/>
            <c:intercept val="0"/>
            <c:dispRSqr val="1"/>
            <c:dispEq val="1"/>
            <c:trendlineLbl>
              <c:layout>
                <c:manualLayout>
                  <c:x val="6.9804291565293761E-2"/>
                  <c:y val="0.4315430883639545"/>
                </c:manualLayout>
              </c:layout>
              <c:numFmt formatCode="General" sourceLinked="0"/>
              <c:spPr>
                <a:solidFill>
                  <a:schemeClr val="bg1"/>
                </a:solidFill>
                <a:ln>
                  <a:solidFill>
                    <a:schemeClr val="bg1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'TYP PANEL CALCs'!$G$4:$G$26</c:f>
              <c:numCache>
                <c:formatCode>0.00\ "in"</c:formatCode>
                <c:ptCount val="23"/>
                <c:pt idx="0">
                  <c:v>32</c:v>
                </c:pt>
                <c:pt idx="1">
                  <c:v>32</c:v>
                </c:pt>
                <c:pt idx="2">
                  <c:v>34</c:v>
                </c:pt>
                <c:pt idx="3">
                  <c:v>36.18</c:v>
                </c:pt>
                <c:pt idx="4">
                  <c:v>31</c:v>
                </c:pt>
                <c:pt idx="5">
                  <c:v>33</c:v>
                </c:pt>
                <c:pt idx="6">
                  <c:v>56</c:v>
                </c:pt>
                <c:pt idx="7">
                  <c:v>33.5</c:v>
                </c:pt>
                <c:pt idx="8">
                  <c:v>44</c:v>
                </c:pt>
                <c:pt idx="9">
                  <c:v>44</c:v>
                </c:pt>
                <c:pt idx="10">
                  <c:v>44</c:v>
                </c:pt>
                <c:pt idx="11">
                  <c:v>44</c:v>
                </c:pt>
                <c:pt idx="12">
                  <c:v>56</c:v>
                </c:pt>
                <c:pt idx="13">
                  <c:v>56</c:v>
                </c:pt>
                <c:pt idx="14">
                  <c:v>68</c:v>
                </c:pt>
                <c:pt idx="15">
                  <c:v>70</c:v>
                </c:pt>
                <c:pt idx="16">
                  <c:v>55.625</c:v>
                </c:pt>
                <c:pt idx="17">
                  <c:v>33</c:v>
                </c:pt>
                <c:pt idx="18">
                  <c:v>56</c:v>
                </c:pt>
                <c:pt idx="19">
                  <c:v>56</c:v>
                </c:pt>
                <c:pt idx="20">
                  <c:v>56</c:v>
                </c:pt>
                <c:pt idx="21">
                  <c:v>68</c:v>
                </c:pt>
                <c:pt idx="22">
                  <c:v>68.0625</c:v>
                </c:pt>
              </c:numCache>
            </c:numRef>
          </c:xVal>
          <c:yVal>
            <c:numRef>
              <c:f>'TYP PANEL CALCs'!$F$4:$F$26</c:f>
              <c:numCache>
                <c:formatCode>General</c:formatCode>
                <c:ptCount val="23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6</c:v>
                </c:pt>
                <c:pt idx="15">
                  <c:v>6</c:v>
                </c:pt>
                <c:pt idx="16">
                  <c:v>7</c:v>
                </c:pt>
                <c:pt idx="17">
                  <c:v>3</c:v>
                </c:pt>
                <c:pt idx="18">
                  <c:v>4</c:v>
                </c:pt>
                <c:pt idx="19">
                  <c:v>5</c:v>
                </c:pt>
                <c:pt idx="20">
                  <c:v>6</c:v>
                </c:pt>
                <c:pt idx="21">
                  <c:v>6</c:v>
                </c:pt>
                <c:pt idx="22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5E5-44F2-B2A9-07CCAFD7A5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6193080"/>
        <c:axId val="786193440"/>
      </c:scatterChart>
      <c:valAx>
        <c:axId val="7861930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Subpanel Width (in)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\ &quot;in&quot;" sourceLinked="0"/>
        <c:majorTickMark val="none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6193440"/>
        <c:crosses val="autoZero"/>
        <c:crossBetween val="midCat"/>
        <c:minorUnit val="1"/>
      </c:valAx>
      <c:valAx>
        <c:axId val="78619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 of DIN Rails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6193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Usable Vertical</a:t>
            </a:r>
            <a:r>
              <a:rPr lang="en-US" baseline="0"/>
              <a:t> DIN Rail Space for Panels with 1 Row of Horizontal DIN Rails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DIN Rails per Inch of Panel Width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forward val="2"/>
            <c:backward val="10"/>
            <c:intercept val="-14"/>
            <c:dispRSqr val="1"/>
            <c:dispEq val="1"/>
            <c:trendlineLbl>
              <c:layout>
                <c:manualLayout>
                  <c:x val="8.9283428612519325E-2"/>
                  <c:y val="0.44617563429571305"/>
                </c:manualLayout>
              </c:layout>
              <c:numFmt formatCode="General" sourceLinked="0"/>
              <c:spPr>
                <a:solidFill>
                  <a:schemeClr val="bg1"/>
                </a:solidFill>
                <a:ln>
                  <a:solidFill>
                    <a:schemeClr val="bg1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'TYP PANEL CALCs'!$P$4:$P$20</c:f>
              <c:numCache>
                <c:formatCode>0.00\ "in"</c:formatCode>
                <c:ptCount val="17"/>
                <c:pt idx="0">
                  <c:v>60</c:v>
                </c:pt>
                <c:pt idx="1">
                  <c:v>60</c:v>
                </c:pt>
                <c:pt idx="2">
                  <c:v>78</c:v>
                </c:pt>
                <c:pt idx="3">
                  <c:v>60</c:v>
                </c:pt>
                <c:pt idx="4">
                  <c:v>53</c:v>
                </c:pt>
                <c:pt idx="5">
                  <c:v>57</c:v>
                </c:pt>
                <c:pt idx="6">
                  <c:v>78</c:v>
                </c:pt>
                <c:pt idx="7">
                  <c:v>56</c:v>
                </c:pt>
                <c:pt idx="8">
                  <c:v>44</c:v>
                </c:pt>
                <c:pt idx="9">
                  <c:v>55.75</c:v>
                </c:pt>
                <c:pt idx="10">
                  <c:v>60</c:v>
                </c:pt>
                <c:pt idx="11">
                  <c:v>48</c:v>
                </c:pt>
                <c:pt idx="12">
                  <c:v>78</c:v>
                </c:pt>
                <c:pt idx="13">
                  <c:v>60</c:v>
                </c:pt>
                <c:pt idx="14">
                  <c:v>78</c:v>
                </c:pt>
                <c:pt idx="15">
                  <c:v>78</c:v>
                </c:pt>
                <c:pt idx="16">
                  <c:v>33</c:v>
                </c:pt>
              </c:numCache>
            </c:numRef>
          </c:xVal>
          <c:yVal>
            <c:numRef>
              <c:f>'TYP PANEL CALCs'!$Q$4:$Q$20</c:f>
              <c:numCache>
                <c:formatCode>0.00\ "in"</c:formatCode>
                <c:ptCount val="17"/>
                <c:pt idx="0">
                  <c:v>45.25</c:v>
                </c:pt>
                <c:pt idx="1">
                  <c:v>48</c:v>
                </c:pt>
                <c:pt idx="2">
                  <c:v>62</c:v>
                </c:pt>
                <c:pt idx="3">
                  <c:v>46.25</c:v>
                </c:pt>
                <c:pt idx="4">
                  <c:v>42.75</c:v>
                </c:pt>
                <c:pt idx="5">
                  <c:v>41.75</c:v>
                </c:pt>
                <c:pt idx="6">
                  <c:v>58</c:v>
                </c:pt>
                <c:pt idx="7">
                  <c:v>41</c:v>
                </c:pt>
                <c:pt idx="8">
                  <c:v>29.25</c:v>
                </c:pt>
                <c:pt idx="9">
                  <c:v>36.25</c:v>
                </c:pt>
                <c:pt idx="10">
                  <c:v>44.75</c:v>
                </c:pt>
                <c:pt idx="11">
                  <c:v>36</c:v>
                </c:pt>
                <c:pt idx="12">
                  <c:v>58</c:v>
                </c:pt>
                <c:pt idx="13">
                  <c:v>46.375</c:v>
                </c:pt>
                <c:pt idx="14">
                  <c:v>63.25</c:v>
                </c:pt>
                <c:pt idx="15">
                  <c:v>62</c:v>
                </c:pt>
                <c:pt idx="16">
                  <c:v>22.375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6F4-4781-BF09-85F95A2EDF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6193080"/>
        <c:axId val="786193440"/>
      </c:scatterChart>
      <c:valAx>
        <c:axId val="7861930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Subpanel</a:t>
                </a:r>
                <a:r>
                  <a:rPr lang="en-US" baseline="0"/>
                  <a:t> Height (in)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\ &quot;in&quot;" sourceLinked="0"/>
        <c:majorTickMark val="none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6193440"/>
        <c:crosses val="autoZero"/>
        <c:crossBetween val="midCat"/>
        <c:minorUnit val="1"/>
      </c:valAx>
      <c:valAx>
        <c:axId val="78619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DIN Rail Usable Height (in)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\ &quot;in&quot;" sourceLinked="0"/>
        <c:majorTickMark val="none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6193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Usable Vertical</a:t>
            </a:r>
            <a:r>
              <a:rPr lang="en-US" baseline="0"/>
              <a:t> DIN Rail Space for Panels with 2 Rows of Horizontal DIN Rails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forward val="1"/>
            <c:backward val="5"/>
            <c:intercept val="-28"/>
            <c:dispRSqr val="1"/>
            <c:dispEq val="1"/>
            <c:trendlineLbl>
              <c:layout>
                <c:manualLayout>
                  <c:x val="8.9283428612519325E-2"/>
                  <c:y val="0.33903475701900898"/>
                </c:manualLayout>
              </c:layout>
              <c:numFmt formatCode="General" sourceLinked="0"/>
              <c:spPr>
                <a:solidFill>
                  <a:schemeClr val="bg1"/>
                </a:solidFill>
                <a:ln>
                  <a:solidFill>
                    <a:schemeClr val="bg1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'TYP PANEL CALCs'!$P$21:$P$26</c:f>
              <c:numCache>
                <c:formatCode>0.00\ "in"</c:formatCode>
                <c:ptCount val="6"/>
                <c:pt idx="0">
                  <c:v>69</c:v>
                </c:pt>
                <c:pt idx="1">
                  <c:v>68</c:v>
                </c:pt>
                <c:pt idx="2">
                  <c:v>78</c:v>
                </c:pt>
                <c:pt idx="3">
                  <c:v>68</c:v>
                </c:pt>
                <c:pt idx="4">
                  <c:v>75.75</c:v>
                </c:pt>
                <c:pt idx="5">
                  <c:v>78</c:v>
                </c:pt>
              </c:numCache>
            </c:numRef>
          </c:xVal>
          <c:yVal>
            <c:numRef>
              <c:f>'TYP PANEL CALCs'!$Q$21:$Q$26</c:f>
              <c:numCache>
                <c:formatCode>0.00\ "in"</c:formatCode>
                <c:ptCount val="6"/>
                <c:pt idx="0">
                  <c:v>35.5</c:v>
                </c:pt>
                <c:pt idx="1">
                  <c:v>39.75</c:v>
                </c:pt>
                <c:pt idx="2">
                  <c:v>59.625</c:v>
                </c:pt>
                <c:pt idx="3">
                  <c:v>38.25</c:v>
                </c:pt>
                <c:pt idx="4">
                  <c:v>52.5625</c:v>
                </c:pt>
                <c:pt idx="5">
                  <c:v>50.125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E8-4A82-9C4F-9E2C2C54E1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6193080"/>
        <c:axId val="786193440"/>
      </c:scatterChart>
      <c:valAx>
        <c:axId val="7861930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Subpanel</a:t>
                </a:r>
                <a:r>
                  <a:rPr lang="en-US" baseline="0"/>
                  <a:t> Height (in)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\ &quot;in&quot;" sourceLinked="0"/>
        <c:majorTickMark val="none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6193440"/>
        <c:crosses val="autoZero"/>
        <c:crossBetween val="midCat"/>
        <c:minorUnit val="1"/>
      </c:valAx>
      <c:valAx>
        <c:axId val="78619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DIN Rail Usable Height (in)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\ &quot;in&quot;" sourceLinked="0"/>
        <c:majorTickMark val="none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6193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447676</xdr:colOff>
      <xdr:row>13</xdr:row>
      <xdr:rowOff>152401</xdr:rowOff>
    </xdr:from>
    <xdr:to>
      <xdr:col>19</xdr:col>
      <xdr:colOff>569596</xdr:colOff>
      <xdr:row>51</xdr:row>
      <xdr:rowOff>45721</xdr:rowOff>
    </xdr:to>
    <xdr:sp macro="" textlink="">
      <xdr:nvSpPr>
        <xdr:cNvPr id="2" name="Subpanel">
          <a:extLst>
            <a:ext uri="{FF2B5EF4-FFF2-40B4-BE49-F238E27FC236}">
              <a16:creationId xmlns:a16="http://schemas.microsoft.com/office/drawing/2014/main" id="{4580176F-2E5E-35F8-F77E-FB5BEE81F80B}"/>
            </a:ext>
          </a:extLst>
        </xdr:cNvPr>
        <xdr:cNvSpPr/>
      </xdr:nvSpPr>
      <xdr:spPr>
        <a:xfrm>
          <a:off x="5781676" y="2819401"/>
          <a:ext cx="6217920" cy="713232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11</xdr:col>
      <xdr:colOff>381000</xdr:colOff>
      <xdr:row>7</xdr:row>
      <xdr:rowOff>110824</xdr:rowOff>
    </xdr:from>
    <xdr:ext cx="1514475" cy="292704"/>
    <xdr:sp macro="[0]!ResizePanel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938AA4D-7EEA-BB88-197B-A4C8F094CF27}"/>
            </a:ext>
          </a:extLst>
        </xdr:cNvPr>
        <xdr:cNvSpPr/>
      </xdr:nvSpPr>
      <xdr:spPr>
        <a:xfrm>
          <a:off x="5867400" y="1444324"/>
          <a:ext cx="1514475" cy="292704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>
          <a:noAutofit/>
        </a:bodyPr>
        <a:lstStyle/>
        <a:p>
          <a:pPr algn="l"/>
          <a:r>
            <a:rPr lang="en-US" sz="1100"/>
            <a:t>Calculate Panel Size</a:t>
          </a:r>
        </a:p>
      </xdr:txBody>
    </xdr:sp>
    <xdr:clientData/>
  </xdr:oneCellAnchor>
  <xdr:twoCellAnchor editAs="absolute">
    <xdr:from>
      <xdr:col>9</xdr:col>
      <xdr:colOff>114301</xdr:colOff>
      <xdr:row>14</xdr:row>
      <xdr:rowOff>123826</xdr:rowOff>
    </xdr:from>
    <xdr:to>
      <xdr:col>9</xdr:col>
      <xdr:colOff>371476</xdr:colOff>
      <xdr:row>34</xdr:row>
      <xdr:rowOff>123826</xdr:rowOff>
    </xdr:to>
    <xdr:sp macro="" textlink="">
      <xdr:nvSpPr>
        <xdr:cNvPr id="4" name="Meas_SubpanelHeight">
          <a:extLst>
            <a:ext uri="{FF2B5EF4-FFF2-40B4-BE49-F238E27FC236}">
              <a16:creationId xmlns:a16="http://schemas.microsoft.com/office/drawing/2014/main" id="{59D5F89B-7413-26CB-5547-964E86F979D0}"/>
            </a:ext>
          </a:extLst>
        </xdr:cNvPr>
        <xdr:cNvSpPr/>
      </xdr:nvSpPr>
      <xdr:spPr>
        <a:xfrm>
          <a:off x="4381501" y="2790826"/>
          <a:ext cx="257175" cy="3810000"/>
        </a:xfrm>
        <a:prstGeom prst="leftBrac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9</xdr:col>
      <xdr:colOff>470649</xdr:colOff>
      <xdr:row>11</xdr:row>
      <xdr:rowOff>176216</xdr:rowOff>
    </xdr:from>
    <xdr:to>
      <xdr:col>19</xdr:col>
      <xdr:colOff>571501</xdr:colOff>
      <xdr:row>13</xdr:row>
      <xdr:rowOff>78441</xdr:rowOff>
    </xdr:to>
    <xdr:sp macro="" textlink="">
      <xdr:nvSpPr>
        <xdr:cNvPr id="5" name="Meas_SubpanelWidth">
          <a:extLst>
            <a:ext uri="{FF2B5EF4-FFF2-40B4-BE49-F238E27FC236}">
              <a16:creationId xmlns:a16="http://schemas.microsoft.com/office/drawing/2014/main" id="{F3F484F8-72F6-492F-A6BC-E383D0DBF79D}"/>
            </a:ext>
          </a:extLst>
        </xdr:cNvPr>
        <xdr:cNvSpPr/>
      </xdr:nvSpPr>
      <xdr:spPr>
        <a:xfrm rot="5400000" flipV="1">
          <a:off x="8746808" y="-487270"/>
          <a:ext cx="283225" cy="6182198"/>
        </a:xfrm>
        <a:prstGeom prst="leftBrac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323850</xdr:colOff>
      <xdr:row>28</xdr:row>
      <xdr:rowOff>95250</xdr:rowOff>
    </xdr:from>
    <xdr:to>
      <xdr:col>12</xdr:col>
      <xdr:colOff>28574</xdr:colOff>
      <xdr:row>42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FCCED88-4A34-415B-9ABB-DF6406D8F2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133350</xdr:colOff>
      <xdr:row>28</xdr:row>
      <xdr:rowOff>85725</xdr:rowOff>
    </xdr:from>
    <xdr:to>
      <xdr:col>19</xdr:col>
      <xdr:colOff>914400</xdr:colOff>
      <xdr:row>44</xdr:row>
      <xdr:rowOff>180975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97C6086-C5D1-4B0A-8DD0-8049D8E856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152400</xdr:colOff>
      <xdr:row>45</xdr:row>
      <xdr:rowOff>133350</xdr:rowOff>
    </xdr:from>
    <xdr:to>
      <xdr:col>19</xdr:col>
      <xdr:colOff>933450</xdr:colOff>
      <xdr:row>62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ED1B06E-2763-4804-92CF-726D9932DB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D91952F-1B46-487D-BC42-84BDB2F73899}" name="Table146" displayName="Table146" ref="F3:T26" totalsRowShown="0" headerRowDxfId="22" dataDxfId="21">
  <autoFilter ref="F3:T26" xr:uid="{8B3BDABA-460F-4822-8166-30D41567A07C}"/>
  <sortState xmlns:xlrd2="http://schemas.microsoft.com/office/spreadsheetml/2017/richdata2" ref="F4:T26">
    <sortCondition ref="N4:N26"/>
    <sortCondition ref="F4:F26"/>
    <sortCondition ref="G4:G26"/>
    <sortCondition ref="P4:P26"/>
  </sortState>
  <tableColumns count="15">
    <tableColumn id="1" xr3:uid="{FC1A1EF7-E962-4958-8584-4D03609BA051}" name="DIN Rail Columns" dataDxfId="20"/>
    <tableColumn id="2" xr3:uid="{60D84209-B802-47B7-84DF-F6204ED6DC80}" name="Subpanel Width" dataDxfId="19"/>
    <tableColumn id="3" xr3:uid="{BAA4F560-E805-4DC0-ABF4-4744E20A9AE4}" name="Total Wireway Width" dataDxfId="18"/>
    <tableColumn id="5" xr3:uid="{38A91D92-2F20-4E9E-BA3C-CC1875D85CB3}" name="Open Space Proportion" dataDxfId="17">
      <calculatedColumnFormula>(G4-H4)/G4</calculatedColumnFormula>
    </tableColumn>
    <tableColumn id="6" xr3:uid="{E4D95FFB-6682-41EF-B6DC-CEF6BFBBA300}" name="Avg Width/ Column" dataDxfId="16">
      <calculatedColumnFormula>ROUNDUP((I4*G4)/F4, 2)</calculatedColumnFormula>
    </tableColumn>
    <tableColumn id="4" xr3:uid="{8A96EF85-E6A9-4274-8089-6E09805FAB37}" name="DIN Rails/Inch of Panel Width" dataDxfId="15">
      <calculatedColumnFormula>ROUNDDOWN(Table146[[#This Row],[DIN Rail Columns]]/Table146[[#This Row],[Subpanel Width]], 3)</calculatedColumnFormula>
    </tableColumn>
    <tableColumn id="7" xr3:uid="{8091F294-47E9-4EBF-877B-42D8343563CE}" name="Wireway Proportion" dataDxfId="14">
      <calculatedColumnFormula>H4/G4</calculatedColumnFormula>
    </tableColumn>
    <tableColumn id="8" xr3:uid="{CF170072-CEF4-4ED3-9B02-007670CED67E}" name="Avg Wireway Width/Column" dataDxfId="13">
      <calculatedColumnFormula>ROUNDUP((L4*G4)/F4, 2)</calculatedColumnFormula>
    </tableColumn>
    <tableColumn id="9" xr3:uid="{B4FC2CD6-D3A6-447D-A8B5-E91A2F3E7A22}" name="DIN Rail/ PLC Rows" dataDxfId="12"/>
    <tableColumn id="11" xr3:uid="{392BA43C-2D2F-4DB7-9F41-22C3FC1B4066}" name="Number of PLCs" dataDxfId="11"/>
    <tableColumn id="10" xr3:uid="{48E0D7FD-D491-4F12-89E0-230E5FA6211E}" name="Subpanel Height" dataDxfId="10"/>
    <tableColumn id="12" xr3:uid="{8E8375BB-436A-4B48-ABFB-9B4800196AB1}" name="Height Used for DIN Rails" dataDxfId="9"/>
    <tableColumn id="13" xr3:uid="{629F9967-238F-4ABB-AA98-AF5A3B6CD8B9}" name="DIN Rail Proportion" dataDxfId="8">
      <calculatedColumnFormula>Table146[[#This Row],[Height Used for DIN Rails]]/Table146[[#This Row],[Subpanel Height]]</calculatedColumnFormula>
    </tableColumn>
    <tableColumn id="14" xr3:uid="{C231021A-6FAA-4841-A61E-597015FDDD73}" name="PLC/Wireway Proportion" dataDxfId="7">
      <calculatedColumnFormula>1-Table146[[#This Row],[DIN Rail Proportion]]</calculatedColumnFormula>
    </tableColumn>
    <tableColumn id="15" xr3:uid="{2DA94ACD-D2B0-4218-BA7A-85DA58B35101}" name="Avg Wireway Height/Row" dataDxfId="6">
      <calculatedColumnFormula>(1-Table146[[#This Row],[DIN Rail Proportion]])*Table146[[#This Row],[Subpanel Height]]/Table146[[#This Row],[DIN Rail/ PLC Rows]]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D50724E-1000-4114-BD92-0305D730AA2E}" name="Table257" displayName="Table257" ref="B3:C14" totalsRowShown="0" headerRowDxfId="5" headerRowBorderDxfId="4" tableBorderDxfId="3" totalsRowBorderDxfId="2">
  <autoFilter ref="B3:C14" xr:uid="{3C6B3727-ABC0-4AFE-B44F-B82177CD42A1}"/>
  <tableColumns count="2">
    <tableColumn id="1" xr3:uid="{70CA7342-A3D9-49AB-8603-B4FCB2A7B331}" name="PLC Type" dataDxfId="1"/>
    <tableColumn id="2" xr3:uid="{C2D6D83C-D1DF-4AFE-A1AD-65ECA963E522}" name="Width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D4B477-DA7B-47D7-85BA-28607FB18B97}">
  <sheetPr codeName="Sheet1"/>
  <dimension ref="C1:AZ32"/>
  <sheetViews>
    <sheetView workbookViewId="0">
      <selection activeCell="P18" sqref="P18"/>
    </sheetView>
  </sheetViews>
  <sheetFormatPr defaultRowHeight="15" x14ac:dyDescent="0.25"/>
  <cols>
    <col min="1" max="2" width="3.7109375" style="2" customWidth="1"/>
    <col min="3" max="3" width="24.5703125" style="2" bestFit="1" customWidth="1"/>
    <col min="4" max="9" width="11.42578125" style="2" customWidth="1"/>
    <col min="10" max="11" width="9.140625" style="2"/>
    <col min="12" max="51" width="9.140625" style="39"/>
    <col min="52" max="16384" width="9.140625" style="2"/>
  </cols>
  <sheetData>
    <row r="1" spans="3:52" s="5" customFormat="1" x14ac:dyDescent="0.25"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5" t="s">
        <v>44</v>
      </c>
    </row>
    <row r="6" spans="3:52" x14ac:dyDescent="0.25">
      <c r="C6" s="102" t="s">
        <v>8</v>
      </c>
      <c r="D6" s="103"/>
      <c r="E6" s="103"/>
      <c r="F6" s="103"/>
      <c r="G6" s="103"/>
      <c r="H6" s="104"/>
    </row>
    <row r="7" spans="3:52" x14ac:dyDescent="0.25">
      <c r="C7" s="6" t="s">
        <v>4</v>
      </c>
      <c r="D7" s="6" t="s">
        <v>17</v>
      </c>
      <c r="E7" s="6" t="s">
        <v>0</v>
      </c>
      <c r="F7" s="6" t="s">
        <v>1</v>
      </c>
      <c r="G7" s="6" t="s">
        <v>2</v>
      </c>
      <c r="H7" s="6" t="s">
        <v>3</v>
      </c>
    </row>
    <row r="8" spans="3:52" x14ac:dyDescent="0.25">
      <c r="C8" s="8">
        <v>0.2</v>
      </c>
      <c r="D8" s="14">
        <v>3</v>
      </c>
      <c r="E8" s="4">
        <v>25</v>
      </c>
      <c r="F8" s="4">
        <v>19</v>
      </c>
      <c r="G8" s="4">
        <v>12</v>
      </c>
      <c r="H8" s="4">
        <v>6</v>
      </c>
    </row>
    <row r="9" spans="3:52" x14ac:dyDescent="0.25">
      <c r="C9" s="7" t="s">
        <v>9</v>
      </c>
      <c r="D9" s="7" t="s">
        <v>9</v>
      </c>
      <c r="E9" s="3">
        <f>E8+MAX($D$8, ROUNDUP(E8*($C$8),0))</f>
        <v>30</v>
      </c>
      <c r="F9" s="3">
        <f>F8+MAX($D$8, ROUNDUP(F8*($C$8),0))</f>
        <v>23</v>
      </c>
      <c r="G9" s="3">
        <f>G8+MAX($D$8, ROUNDUP(G8*($C$8),0))</f>
        <v>15</v>
      </c>
      <c r="H9" s="3">
        <f>H8+MAX($D$8, ROUNDUP(H8*($C$8),0))</f>
        <v>9</v>
      </c>
    </row>
    <row r="12" spans="3:52" x14ac:dyDescent="0.25">
      <c r="C12" s="102" t="s">
        <v>18</v>
      </c>
      <c r="D12" s="104"/>
    </row>
    <row r="13" spans="3:52" x14ac:dyDescent="0.25">
      <c r="C13" s="12" t="s">
        <v>5</v>
      </c>
      <c r="D13" s="13" t="s">
        <v>7</v>
      </c>
    </row>
    <row r="14" spans="3:52" x14ac:dyDescent="0.25">
      <c r="C14" s="10" t="s">
        <v>16</v>
      </c>
      <c r="D14" s="11">
        <v>2</v>
      </c>
    </row>
    <row r="15" spans="3:52" x14ac:dyDescent="0.25">
      <c r="C15" s="12" t="s">
        <v>10</v>
      </c>
      <c r="D15" s="13" t="s">
        <v>7</v>
      </c>
    </row>
    <row r="16" spans="3:52" x14ac:dyDescent="0.25">
      <c r="C16" s="12" t="s">
        <v>15</v>
      </c>
      <c r="D16" s="11">
        <v>2</v>
      </c>
    </row>
    <row r="17" spans="3:9" x14ac:dyDescent="0.25">
      <c r="C17" s="10" t="str">
        <f>IF(OR(AND((D15="No"), (D14&gt;1)), D13="No"), "Total Number of Slots", "Number of Slots/Chassis")</f>
        <v>Number of Slots/Chassis</v>
      </c>
      <c r="D17" s="11">
        <v>17</v>
      </c>
    </row>
    <row r="18" spans="3:9" x14ac:dyDescent="0.25">
      <c r="C18" s="1"/>
      <c r="D18" s="9"/>
    </row>
    <row r="19" spans="3:9" x14ac:dyDescent="0.25">
      <c r="C19" s="1"/>
      <c r="D19" s="9"/>
    </row>
    <row r="20" spans="3:9" x14ac:dyDescent="0.25">
      <c r="C20" s="106" t="s">
        <v>13</v>
      </c>
      <c r="D20" s="106"/>
      <c r="E20" s="106"/>
      <c r="F20" s="106"/>
      <c r="G20" s="106"/>
      <c r="H20" s="106"/>
      <c r="I20" s="106"/>
    </row>
    <row r="21" spans="3:9" x14ac:dyDescent="0.25">
      <c r="C21" s="6"/>
      <c r="D21" s="6" t="s">
        <v>12</v>
      </c>
      <c r="E21" s="6" t="s">
        <v>19</v>
      </c>
      <c r="F21" s="6" t="s">
        <v>20</v>
      </c>
      <c r="G21" s="6" t="s">
        <v>21</v>
      </c>
      <c r="H21" s="6" t="s">
        <v>22</v>
      </c>
      <c r="I21" s="3" t="s">
        <v>11</v>
      </c>
    </row>
    <row r="22" spans="3:9" x14ac:dyDescent="0.25">
      <c r="C22" s="3" t="s">
        <v>0</v>
      </c>
      <c r="D22" s="4"/>
      <c r="E22" s="4"/>
      <c r="F22" s="4"/>
      <c r="G22" s="4">
        <v>9</v>
      </c>
      <c r="H22" s="4"/>
      <c r="I22" s="3">
        <f>SUM((2*D22),(4*E22),(8*F22),(16*G22),(32*H22))</f>
        <v>144</v>
      </c>
    </row>
    <row r="23" spans="3:9" x14ac:dyDescent="0.25">
      <c r="C23" s="3" t="s">
        <v>1</v>
      </c>
      <c r="D23" s="4"/>
      <c r="E23" s="4"/>
      <c r="F23" s="4"/>
      <c r="G23" s="4">
        <v>3</v>
      </c>
      <c r="H23" s="4"/>
      <c r="I23" s="3">
        <f>SUM((2*D23),(4*E23),(8*F23),(16*G23),(32*H23))</f>
        <v>48</v>
      </c>
    </row>
    <row r="24" spans="3:9" x14ac:dyDescent="0.25">
      <c r="C24" s="3" t="s">
        <v>2</v>
      </c>
      <c r="D24" s="4"/>
      <c r="E24" s="4"/>
      <c r="F24" s="4">
        <v>4</v>
      </c>
      <c r="G24" s="4"/>
      <c r="H24" s="4"/>
      <c r="I24" s="3">
        <f>SUM((2*D24),(4*E24),(8*F24),(16*G24),(32*H24))</f>
        <v>32</v>
      </c>
    </row>
    <row r="25" spans="3:9" x14ac:dyDescent="0.25">
      <c r="C25" s="3" t="s">
        <v>3</v>
      </c>
      <c r="D25" s="4"/>
      <c r="E25" s="4"/>
      <c r="F25" s="4">
        <v>2</v>
      </c>
      <c r="G25" s="4"/>
      <c r="H25" s="4"/>
      <c r="I25" s="3">
        <f>SUM((2*D25),(4*E25),(8*F25),(16*G25),(32*H25))</f>
        <v>16</v>
      </c>
    </row>
    <row r="26" spans="3:9" x14ac:dyDescent="0.25">
      <c r="C26" s="3" t="s">
        <v>6</v>
      </c>
      <c r="D26" s="105">
        <v>4</v>
      </c>
      <c r="E26" s="105"/>
      <c r="F26" s="105"/>
      <c r="G26" s="105"/>
      <c r="H26" s="105"/>
      <c r="I26" s="7" t="s">
        <v>9</v>
      </c>
    </row>
    <row r="27" spans="3:9" x14ac:dyDescent="0.25">
      <c r="C27" s="3" t="s">
        <v>14</v>
      </c>
      <c r="D27" s="106">
        <f>IF(D13="No", "-", IF(D15="Yes", (D14*D17), D17)-SUM(D22:H26))</f>
        <v>12</v>
      </c>
      <c r="E27" s="106"/>
      <c r="F27" s="106"/>
      <c r="G27" s="106"/>
      <c r="H27" s="106"/>
      <c r="I27" s="7" t="s">
        <v>9</v>
      </c>
    </row>
    <row r="32" spans="3:9" s="39" customFormat="1" x14ac:dyDescent="0.25"/>
  </sheetData>
  <mergeCells count="5">
    <mergeCell ref="C6:H6"/>
    <mergeCell ref="D26:H26"/>
    <mergeCell ref="D27:H27"/>
    <mergeCell ref="C20:I20"/>
    <mergeCell ref="C12:D12"/>
  </mergeCells>
  <phoneticPr fontId="2" type="noConversion"/>
  <conditionalFormatting sqref="D27:H27">
    <cfRule type="expression" dxfId="35" priority="13">
      <formula>OR((D27&lt;0), IF(D13="Yes", D27&lt;(D16*D14), 0))</formula>
    </cfRule>
  </conditionalFormatting>
  <conditionalFormatting sqref="C15:D15">
    <cfRule type="expression" dxfId="34" priority="8">
      <formula>IF(OR(($D$14=1), ($D$13="No")), 1, 0)</formula>
    </cfRule>
  </conditionalFormatting>
  <conditionalFormatting sqref="C14:D14">
    <cfRule type="expression" dxfId="33" priority="7">
      <formula>IF($D$13="Yes", 0, 1)</formula>
    </cfRule>
  </conditionalFormatting>
  <conditionalFormatting sqref="C16:D16">
    <cfRule type="expression" dxfId="32" priority="6">
      <formula>IF($D$13="Yes", 0, 1)</formula>
    </cfRule>
  </conditionalFormatting>
  <conditionalFormatting sqref="C17:D17">
    <cfRule type="expression" dxfId="31" priority="5">
      <formula>IF($D$13="Yes", 0, 1)</formula>
    </cfRule>
  </conditionalFormatting>
  <conditionalFormatting sqref="I22 E9">
    <cfRule type="expression" dxfId="30" priority="14">
      <formula>$I$22&lt;$E$9</formula>
    </cfRule>
  </conditionalFormatting>
  <conditionalFormatting sqref="I23 F9">
    <cfRule type="expression" dxfId="29" priority="15">
      <formula>$I$23&lt;$F$9</formula>
    </cfRule>
  </conditionalFormatting>
  <conditionalFormatting sqref="I24 G9">
    <cfRule type="expression" dxfId="28" priority="16">
      <formula>$I$24&lt;$G$9</formula>
    </cfRule>
  </conditionalFormatting>
  <conditionalFormatting sqref="H9 I25">
    <cfRule type="expression" dxfId="27" priority="17">
      <formula>$H$9&gt;$I$25</formula>
    </cfRule>
  </conditionalFormatting>
  <dataValidations count="6">
    <dataValidation type="list" showInputMessage="1" showErrorMessage="1" sqref="D13 D15" xr:uid="{CF29F916-3BAA-4A8D-AC1A-7CD07F91728C}">
      <formula1>"Yes, No"</formula1>
    </dataValidation>
    <dataValidation type="whole" showInputMessage="1" showErrorMessage="1" sqref="D14 D16" xr:uid="{2F226CB8-EE1C-4066-B2CB-3EAA3C6B7C93}">
      <formula1>0</formula1>
      <formula2>100</formula2>
    </dataValidation>
    <dataValidation type="whole" allowBlank="1" showInputMessage="1" showErrorMessage="1" sqref="D17 D8" xr:uid="{AED32699-3818-4E6D-BF64-C509C0080345}">
      <formula1>0</formula1>
      <formula2>100</formula2>
    </dataValidation>
    <dataValidation type="whole" allowBlank="1" showInputMessage="1" showErrorMessage="1" sqref="D22:H26" xr:uid="{0F0EF9A4-6A69-4317-B7E0-D5767AA597D5}">
      <formula1>0</formula1>
      <formula2>1000</formula2>
    </dataValidation>
    <dataValidation type="whole" allowBlank="1" showInputMessage="1" showErrorMessage="1" sqref="E8:H8" xr:uid="{778E45F0-1E69-439E-9794-BC2670EFD127}">
      <formula1>0</formula1>
      <formula2>50000</formula2>
    </dataValidation>
    <dataValidation type="decimal" allowBlank="1" showInputMessage="1" showErrorMessage="1" sqref="C8:D8" xr:uid="{5B2F5126-E13C-4D8C-A69A-5D7C6B2A8736}">
      <formula1>0</formula1>
      <formula2>1</formula2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DF2F99-A0E4-4BBF-8E8D-CC9B9B66FCA1}">
  <sheetPr codeName="Sheet5"/>
  <dimension ref="B1:AZ68"/>
  <sheetViews>
    <sheetView topLeftCell="A36" workbookViewId="0">
      <selection activeCell="F49" sqref="F49"/>
    </sheetView>
  </sheetViews>
  <sheetFormatPr defaultRowHeight="15" x14ac:dyDescent="0.25"/>
  <cols>
    <col min="1" max="1" width="4.28515625" style="39" customWidth="1"/>
    <col min="2" max="2" width="20" style="39" customWidth="1"/>
    <col min="3" max="3" width="9.140625" style="39" customWidth="1"/>
    <col min="4" max="5" width="4.7109375" style="39" customWidth="1"/>
    <col min="6" max="6" width="28.42578125" style="39" customWidth="1"/>
    <col min="7" max="8" width="11.42578125" style="39" customWidth="1"/>
    <col min="9" max="9" width="9.140625" style="39"/>
    <col min="10" max="10" width="20.28515625" style="39" bestFit="1" customWidth="1"/>
    <col min="11" max="13" width="9.140625" style="39"/>
    <col min="14" max="14" width="19.42578125" style="39" customWidth="1"/>
    <col min="15" max="15" width="22.42578125" style="39" bestFit="1" customWidth="1"/>
    <col min="16" max="19" width="9.7109375" style="39" customWidth="1"/>
    <col min="20" max="20" width="9.140625" style="39" customWidth="1"/>
    <col min="21" max="16384" width="9.140625" style="39"/>
  </cols>
  <sheetData>
    <row r="1" spans="2:52" ht="15.75" thickBot="1" x14ac:dyDescent="0.3">
      <c r="N1"/>
      <c r="O1" s="81"/>
      <c r="AZ1" s="39" t="s">
        <v>44</v>
      </c>
    </row>
    <row r="2" spans="2:52" x14ac:dyDescent="0.25">
      <c r="F2" s="113" t="s">
        <v>38</v>
      </c>
      <c r="G2" s="113"/>
      <c r="H2" s="113"/>
      <c r="I2" s="113"/>
      <c r="N2"/>
      <c r="O2" s="107" t="s">
        <v>116</v>
      </c>
      <c r="P2" s="108"/>
      <c r="Q2" s="108"/>
      <c r="R2" s="108"/>
      <c r="S2" s="109"/>
    </row>
    <row r="3" spans="2:52" x14ac:dyDescent="0.25">
      <c r="N3"/>
      <c r="O3" s="95"/>
      <c r="P3" s="42" t="s">
        <v>0</v>
      </c>
      <c r="Q3" s="42" t="s">
        <v>1</v>
      </c>
      <c r="R3" s="42" t="s">
        <v>2</v>
      </c>
      <c r="S3" s="89" t="s">
        <v>3</v>
      </c>
    </row>
    <row r="4" spans="2:52" x14ac:dyDescent="0.25">
      <c r="B4" s="106" t="s">
        <v>86</v>
      </c>
      <c r="C4" s="106"/>
      <c r="F4" s="102" t="s">
        <v>26</v>
      </c>
      <c r="G4" s="103"/>
      <c r="H4" s="104"/>
      <c r="J4" s="102" t="s">
        <v>32</v>
      </c>
      <c r="K4" s="103"/>
      <c r="L4" s="104"/>
      <c r="N4"/>
      <c r="O4" s="95" t="s">
        <v>112</v>
      </c>
      <c r="P4" s="41">
        <v>0</v>
      </c>
      <c r="Q4" s="41">
        <v>0</v>
      </c>
      <c r="R4" s="41">
        <v>0</v>
      </c>
      <c r="S4" s="96">
        <v>0</v>
      </c>
      <c r="T4"/>
      <c r="U4"/>
      <c r="V4"/>
    </row>
    <row r="5" spans="2:52" x14ac:dyDescent="0.25">
      <c r="B5" s="42" t="s">
        <v>83</v>
      </c>
      <c r="C5" s="17">
        <f>ROUNDUP((6.2/25.4), 2)</f>
        <v>0.25</v>
      </c>
      <c r="F5" s="42"/>
      <c r="G5" s="42" t="s">
        <v>31</v>
      </c>
      <c r="H5" s="42" t="s">
        <v>30</v>
      </c>
      <c r="J5" s="42"/>
      <c r="K5" s="42" t="s">
        <v>31</v>
      </c>
      <c r="L5" s="42" t="s">
        <v>30</v>
      </c>
      <c r="N5"/>
      <c r="O5" s="88" t="s">
        <v>113</v>
      </c>
      <c r="P5" s="41">
        <v>2</v>
      </c>
      <c r="Q5" s="41">
        <v>2</v>
      </c>
      <c r="R5" s="41">
        <v>2</v>
      </c>
      <c r="S5" s="96">
        <v>2</v>
      </c>
      <c r="T5"/>
      <c r="U5"/>
      <c r="V5"/>
    </row>
    <row r="6" spans="2:52" ht="15.75" thickBot="1" x14ac:dyDescent="0.3">
      <c r="B6" s="42" t="s">
        <v>85</v>
      </c>
      <c r="C6" s="17">
        <f>ROUNDUP((6.2/25.4), 2)</f>
        <v>0.25</v>
      </c>
      <c r="F6" s="41" t="s">
        <v>28</v>
      </c>
      <c r="G6" s="42">
        <f>'BASIC IO REQs'!I22</f>
        <v>144</v>
      </c>
      <c r="H6" s="18">
        <f>IF(($F$6="Fused TBs"), C5, C6)</f>
        <v>0.25</v>
      </c>
      <c r="J6" s="42" t="s">
        <v>37</v>
      </c>
      <c r="K6" s="42">
        <f>'BASIC IO REQs'!I24</f>
        <v>32</v>
      </c>
      <c r="L6" s="17">
        <v>1</v>
      </c>
      <c r="N6"/>
      <c r="O6" s="97" t="s">
        <v>114</v>
      </c>
      <c r="P6" s="94">
        <v>0.2</v>
      </c>
      <c r="Q6" s="94">
        <v>0.2</v>
      </c>
      <c r="R6" s="94">
        <v>0.2</v>
      </c>
      <c r="S6" s="98">
        <v>0.2</v>
      </c>
      <c r="T6"/>
      <c r="U6"/>
      <c r="V6"/>
    </row>
    <row r="7" spans="2:52" ht="15.75" thickBot="1" x14ac:dyDescent="0.3">
      <c r="B7" s="42" t="s">
        <v>84</v>
      </c>
      <c r="C7" s="17">
        <f>ROUNDUP((6.2/25.4), 2)</f>
        <v>0.25</v>
      </c>
      <c r="F7" s="42" t="s">
        <v>27</v>
      </c>
      <c r="G7" s="42">
        <f>IF($F$6="Fused TBs", G6, "-")</f>
        <v>144</v>
      </c>
      <c r="H7" s="18">
        <f>IF($F$6="Fused TBs", C7, "-")</f>
        <v>0.25</v>
      </c>
      <c r="O7" s="99" t="s">
        <v>115</v>
      </c>
      <c r="P7" s="100">
        <f>IF($O$7="Spare Slot Allotment", MAX(P$5, P$4), MAX(ROUNDUP(P$6*SUM('BASIC IO REQs'!$D22:$H22), 0), P$5))</f>
        <v>2</v>
      </c>
      <c r="Q7" s="100">
        <f>IF($O$7="Spare Slot Allotment", MAX(Q$5, Q$4), MAX(ROUNDUP(Q$6*SUM('BASIC IO REQs'!$D23:$H23), 0), Q$5))</f>
        <v>2</v>
      </c>
      <c r="R7" s="100">
        <f>IF($O$7="Spare Slot Allotment", MAX(R$5, R$4), MAX(ROUNDUP(R$6*SUM('BASIC IO REQs'!$D24:$H24), 0), R$5))</f>
        <v>2</v>
      </c>
      <c r="S7" s="101">
        <f>IF($O$7="Spare Slot Allotment", MAX(S$5, S$4), MAX(ROUNDUP(S$6*SUM('BASIC IO REQs'!$D25:$H25), 0), S$5))</f>
        <v>2</v>
      </c>
      <c r="T7"/>
      <c r="U7"/>
      <c r="V7"/>
    </row>
    <row r="8" spans="2:52" x14ac:dyDescent="0.25">
      <c r="B8" s="42" t="s">
        <v>36</v>
      </c>
      <c r="C8" s="17">
        <f>ROUNDUP((9.5/25.4), 2)</f>
        <v>0.38</v>
      </c>
      <c r="N8"/>
      <c r="O8" s="81"/>
      <c r="T8"/>
      <c r="U8"/>
      <c r="V8"/>
    </row>
    <row r="9" spans="2:52" x14ac:dyDescent="0.25">
      <c r="B9" s="42" t="s">
        <v>34</v>
      </c>
      <c r="C9" s="17">
        <f>ROUNDUP((6.2/25.4), 2)</f>
        <v>0.25</v>
      </c>
      <c r="F9" s="102" t="s">
        <v>29</v>
      </c>
      <c r="G9" s="103"/>
      <c r="H9" s="104"/>
      <c r="J9" s="102" t="s">
        <v>33</v>
      </c>
      <c r="K9" s="103"/>
      <c r="L9" s="104"/>
      <c r="N9"/>
      <c r="O9" s="81"/>
      <c r="T9"/>
      <c r="U9"/>
      <c r="V9"/>
    </row>
    <row r="10" spans="2:52" x14ac:dyDescent="0.25">
      <c r="B10" s="42" t="s">
        <v>100</v>
      </c>
      <c r="C10" s="17">
        <v>1.5625</v>
      </c>
      <c r="F10" s="42"/>
      <c r="G10" s="42" t="s">
        <v>31</v>
      </c>
      <c r="H10" s="42" t="s">
        <v>30</v>
      </c>
      <c r="J10" s="42"/>
      <c r="K10" s="42" t="s">
        <v>31</v>
      </c>
      <c r="L10" s="42" t="s">
        <v>30</v>
      </c>
      <c r="N10"/>
      <c r="O10" s="81"/>
      <c r="T10"/>
      <c r="U10"/>
      <c r="V10"/>
    </row>
    <row r="11" spans="2:52" x14ac:dyDescent="0.25">
      <c r="B11" s="42" t="s">
        <v>87</v>
      </c>
      <c r="C11" s="43">
        <v>0.75</v>
      </c>
      <c r="F11" s="42" t="s">
        <v>34</v>
      </c>
      <c r="G11" s="42">
        <f>'BASIC IO REQs'!I23</f>
        <v>48</v>
      </c>
      <c r="H11" s="18">
        <f>C9</f>
        <v>0.25</v>
      </c>
      <c r="J11" s="42" t="s">
        <v>37</v>
      </c>
      <c r="K11" s="42">
        <f>'BASIC IO REQs'!I25</f>
        <v>16</v>
      </c>
      <c r="L11" s="17">
        <v>0.75</v>
      </c>
      <c r="N11"/>
      <c r="O11" s="81"/>
      <c r="T11"/>
      <c r="U11"/>
      <c r="V11"/>
    </row>
    <row r="12" spans="2:52" x14ac:dyDescent="0.25">
      <c r="B12" s="42" t="s">
        <v>88</v>
      </c>
      <c r="C12" s="17">
        <v>1</v>
      </c>
      <c r="F12" s="42" t="s">
        <v>98</v>
      </c>
      <c r="G12" s="41">
        <v>0</v>
      </c>
      <c r="H12" s="90">
        <f>C7</f>
        <v>0.25</v>
      </c>
      <c r="N12"/>
      <c r="O12" s="81"/>
      <c r="T12"/>
      <c r="U12"/>
      <c r="V12"/>
    </row>
    <row r="13" spans="2:52" s="9" customFormat="1" x14ac:dyDescent="0.25">
      <c r="B13" s="42" t="s">
        <v>89</v>
      </c>
      <c r="C13" s="17">
        <v>2.36</v>
      </c>
      <c r="F13" s="39"/>
      <c r="G13" s="39"/>
      <c r="H13" s="39"/>
      <c r="I13" s="39"/>
      <c r="J13" s="39"/>
      <c r="K13" s="39"/>
      <c r="L13" s="39"/>
      <c r="N13" s="87"/>
      <c r="O13" s="93"/>
      <c r="P13" s="39"/>
      <c r="T13"/>
      <c r="U13"/>
      <c r="V13"/>
    </row>
    <row r="14" spans="2:52" x14ac:dyDescent="0.25">
      <c r="B14" s="42" t="s">
        <v>90</v>
      </c>
      <c r="C14" s="17">
        <v>1.4</v>
      </c>
      <c r="F14" s="106" t="s">
        <v>106</v>
      </c>
      <c r="G14" s="106"/>
      <c r="H14" s="106"/>
      <c r="J14" s="110" t="s">
        <v>107</v>
      </c>
      <c r="K14" s="111"/>
      <c r="L14" s="112"/>
      <c r="N14"/>
      <c r="O14" s="81"/>
      <c r="P14"/>
      <c r="T14"/>
      <c r="U14"/>
      <c r="V14"/>
    </row>
    <row r="15" spans="2:52" x14ac:dyDescent="0.25">
      <c r="B15" s="42" t="s">
        <v>101</v>
      </c>
      <c r="C15" s="17">
        <v>3</v>
      </c>
      <c r="F15" s="42"/>
      <c r="G15" s="42" t="s">
        <v>31</v>
      </c>
      <c r="H15" s="42" t="s">
        <v>30</v>
      </c>
      <c r="J15" s="40"/>
      <c r="K15" s="42" t="s">
        <v>31</v>
      </c>
      <c r="L15" s="42" t="s">
        <v>30</v>
      </c>
      <c r="T15"/>
      <c r="U15"/>
      <c r="V15"/>
    </row>
    <row r="16" spans="2:52" x14ac:dyDescent="0.25">
      <c r="F16" s="42" t="s">
        <v>28</v>
      </c>
      <c r="G16" s="92">
        <f>('BASIC IO REQs'!D14)+(SUM('BASIC IO REQs'!D22:H23))+1+G21+G24</f>
        <v>27</v>
      </c>
      <c r="H16" s="18">
        <f>C5</f>
        <v>0.25</v>
      </c>
      <c r="J16" s="6" t="s">
        <v>28</v>
      </c>
      <c r="K16" s="86">
        <f>SUM('BASIC IO REQs'!D24:H24)+K19+K23</f>
        <v>12</v>
      </c>
      <c r="L16" s="18">
        <f>C5</f>
        <v>0.25</v>
      </c>
      <c r="U16"/>
      <c r="V16"/>
    </row>
    <row r="17" spans="6:22" x14ac:dyDescent="0.25">
      <c r="F17" s="42" t="s">
        <v>27</v>
      </c>
      <c r="G17" s="92">
        <f>G16+(G23-K21)</f>
        <v>32</v>
      </c>
      <c r="H17" s="18">
        <f>C7</f>
        <v>0.25</v>
      </c>
      <c r="J17" s="6" t="s">
        <v>27</v>
      </c>
      <c r="K17" s="86">
        <f>K16</f>
        <v>12</v>
      </c>
      <c r="L17" s="18">
        <f>C7</f>
        <v>0.25</v>
      </c>
      <c r="U17"/>
      <c r="V17"/>
    </row>
    <row r="18" spans="6:22" x14ac:dyDescent="0.25">
      <c r="F18" s="42" t="s">
        <v>108</v>
      </c>
      <c r="G18" s="41">
        <v>1</v>
      </c>
      <c r="H18" s="18">
        <f>C9</f>
        <v>0.25</v>
      </c>
      <c r="J18" s="29" t="s">
        <v>108</v>
      </c>
      <c r="K18" s="16">
        <v>3</v>
      </c>
      <c r="L18" s="18">
        <f>C9</f>
        <v>0.25</v>
      </c>
      <c r="U18"/>
      <c r="V18"/>
    </row>
    <row r="19" spans="6:22" x14ac:dyDescent="0.25">
      <c r="F19" s="42" t="s">
        <v>25</v>
      </c>
      <c r="G19" s="41">
        <v>2</v>
      </c>
      <c r="H19" s="18">
        <f>C12</f>
        <v>1</v>
      </c>
      <c r="J19" s="42" t="s">
        <v>110</v>
      </c>
      <c r="K19" s="41">
        <v>1</v>
      </c>
      <c r="L19" s="91" t="s">
        <v>9</v>
      </c>
    </row>
    <row r="20" spans="6:22" x14ac:dyDescent="0.25">
      <c r="F20" s="42" t="s">
        <v>24</v>
      </c>
      <c r="G20" s="41">
        <v>0</v>
      </c>
      <c r="H20" s="91" t="s">
        <v>9</v>
      </c>
      <c r="J20" s="42" t="s">
        <v>109</v>
      </c>
      <c r="K20" s="41">
        <v>2</v>
      </c>
      <c r="L20" s="90">
        <f>C13</f>
        <v>2.36</v>
      </c>
    </row>
    <row r="21" spans="6:22" x14ac:dyDescent="0.25">
      <c r="F21" s="42" t="s">
        <v>110</v>
      </c>
      <c r="G21" s="41">
        <v>2</v>
      </c>
      <c r="H21" s="91" t="s">
        <v>9</v>
      </c>
      <c r="J21" s="42" t="s">
        <v>121</v>
      </c>
      <c r="K21" s="41">
        <v>1</v>
      </c>
      <c r="L21" s="90">
        <f>C14</f>
        <v>1.4</v>
      </c>
    </row>
    <row r="22" spans="6:22" x14ac:dyDescent="0.25">
      <c r="F22" s="42" t="s">
        <v>111</v>
      </c>
      <c r="G22" s="41">
        <v>2</v>
      </c>
      <c r="H22" s="91" t="s">
        <v>9</v>
      </c>
      <c r="J22" s="6" t="s">
        <v>23</v>
      </c>
      <c r="K22" s="86">
        <f>K21</f>
        <v>1</v>
      </c>
      <c r="L22" s="18">
        <f>C11</f>
        <v>0.75</v>
      </c>
    </row>
    <row r="23" spans="6:22" x14ac:dyDescent="0.25">
      <c r="F23" s="42" t="s">
        <v>23</v>
      </c>
      <c r="G23" s="42">
        <f>G19+G20+G22+K20</f>
        <v>6</v>
      </c>
      <c r="H23" s="90">
        <f>C11</f>
        <v>0.75</v>
      </c>
      <c r="J23" s="6" t="s">
        <v>104</v>
      </c>
      <c r="K23" s="16">
        <v>7</v>
      </c>
      <c r="L23" s="91" t="s">
        <v>9</v>
      </c>
    </row>
    <row r="24" spans="6:22" x14ac:dyDescent="0.25">
      <c r="F24" s="42" t="s">
        <v>104</v>
      </c>
      <c r="G24" s="41">
        <v>10</v>
      </c>
      <c r="H24" s="91" t="s">
        <v>9</v>
      </c>
    </row>
    <row r="29" spans="6:22" x14ac:dyDescent="0.25">
      <c r="F29" s="102" t="s">
        <v>105</v>
      </c>
      <c r="G29" s="103"/>
      <c r="H29" s="104"/>
    </row>
    <row r="30" spans="6:22" x14ac:dyDescent="0.25">
      <c r="F30" s="40"/>
      <c r="G30" s="42" t="s">
        <v>31</v>
      </c>
      <c r="H30" s="42" t="s">
        <v>30</v>
      </c>
    </row>
    <row r="31" spans="6:22" x14ac:dyDescent="0.25">
      <c r="F31" s="6" t="s">
        <v>99</v>
      </c>
      <c r="G31" s="16">
        <v>5</v>
      </c>
      <c r="H31" s="18">
        <f>C10</f>
        <v>1.5625</v>
      </c>
    </row>
    <row r="35" spans="6:12" x14ac:dyDescent="0.25">
      <c r="F35" s="102" t="s">
        <v>35</v>
      </c>
      <c r="G35" s="103"/>
      <c r="H35" s="104"/>
    </row>
    <row r="36" spans="6:12" x14ac:dyDescent="0.25">
      <c r="F36" s="42"/>
      <c r="G36" s="42" t="s">
        <v>31</v>
      </c>
      <c r="H36" s="42" t="s">
        <v>30</v>
      </c>
    </row>
    <row r="37" spans="6:12" x14ac:dyDescent="0.25">
      <c r="F37" s="42" t="s">
        <v>36</v>
      </c>
      <c r="G37" s="42">
        <f>SUM('BASIC IO REQs'!D22:H25)+G19+G23+H58+IF(G16&gt;0, 1, 0)+IF(G18&gt;0, 1, 0)+IF(K16&gt;0, 1, 0)+IF(K18&gt;0, 1, 0)+K20+K21+K22+IF(G31&gt;0, 1, 0)+SUM(P7:S7)</f>
        <v>50</v>
      </c>
      <c r="H37" s="18">
        <f>C8</f>
        <v>0.38</v>
      </c>
    </row>
    <row r="38" spans="6:12" x14ac:dyDescent="0.25">
      <c r="F38" s="42" t="s">
        <v>27</v>
      </c>
      <c r="G38" s="42">
        <f>(2*G31)</f>
        <v>10</v>
      </c>
      <c r="H38" s="90">
        <f>C7</f>
        <v>0.25</v>
      </c>
    </row>
    <row r="39" spans="6:12" x14ac:dyDescent="0.25">
      <c r="F39" s="42" t="s">
        <v>101</v>
      </c>
      <c r="G39" s="41">
        <v>1</v>
      </c>
      <c r="H39" s="90">
        <f>C15</f>
        <v>3</v>
      </c>
    </row>
    <row r="43" spans="6:12" x14ac:dyDescent="0.25">
      <c r="F43" s="39" t="s">
        <v>61</v>
      </c>
      <c r="H43" s="57">
        <v>2</v>
      </c>
    </row>
    <row r="44" spans="6:12" x14ac:dyDescent="0.25">
      <c r="F44" s="39" t="s">
        <v>103</v>
      </c>
      <c r="H44" s="57" t="s">
        <v>102</v>
      </c>
    </row>
    <row r="46" spans="6:12" x14ac:dyDescent="0.25">
      <c r="F46" s="39" t="s">
        <v>122</v>
      </c>
      <c r="H46" s="19">
        <f>ROUNDUP(SUM((G19*H19), (G18*H18), (G31*H31), (G6*H6), IF($F$6="Fused TBs", (G7*H7), 0), (G11*H11), (G12*G11*H12), (G16*H16), (G17*H17), ((G23-K20)*H23)+(K6*L6), (K11*L11), IF($H$44="Vertical", (K16*L16) + (K17*L17)+(K18*L18)+(K21*L21)+(K22*L22)+(K20*L20), 0), (G37*H37), (G38*H38), (G39*H39)), 1)</f>
        <v>194</v>
      </c>
    </row>
    <row r="47" spans="6:12" x14ac:dyDescent="0.25">
      <c r="F47" s="20" t="s">
        <v>106</v>
      </c>
      <c r="H47" s="19">
        <f>(G16*H16)+(G17*H17)+(G18*H18)+(G19*H19)+(G23*H23)+(G31*H31)+(SUM(G19+G23+IF(G18&gt;0, 1, 0)+IF(G31&gt;0, 1, 0))*H37)+(G38*H38)+(G39*H39)</f>
        <v>38.612499999999997</v>
      </c>
      <c r="I47" s="39">
        <f>(SUM(G19+G23+IF(G18&gt;0, 1, 0)+IF(G31&gt;0, 1, 0)))</f>
        <v>10</v>
      </c>
      <c r="L47" s="9"/>
    </row>
    <row r="48" spans="6:12" x14ac:dyDescent="0.25">
      <c r="F48" s="20" t="s">
        <v>107</v>
      </c>
      <c r="H48" s="19">
        <f>IF($H$44="Vertical", (K16*L16) + (K17*L17)+(K18*L18)+(K21*L21)+(K22*L22)+(K20*L20)+((IF(K16&gt;0, 1, 0)+IF(K18&gt;0, 1, 0)+K20+K21+K22+IF(G31&gt;0, 1, 0))*H37), 0)</f>
        <v>16.28</v>
      </c>
      <c r="I48" s="39">
        <f>(IF(K16&gt;0, 1, 0)+IF(K18&gt;0, 1, 0)+K20+K21+K22+IF(G31&gt;0, 1, 0))</f>
        <v>7</v>
      </c>
    </row>
    <row r="49" spans="6:9" x14ac:dyDescent="0.25">
      <c r="F49" s="20" t="s">
        <v>117</v>
      </c>
      <c r="H49" s="19">
        <f>(G6*H6)+(G7*H7)+(SUM('BASIC IO REQs'!D22:H22, P7)*H37)</f>
        <v>76.180000000000007</v>
      </c>
      <c r="I49" s="39">
        <f>SUM('BASIC IO REQs'!D22:H22, P7)</f>
        <v>11</v>
      </c>
    </row>
    <row r="50" spans="6:9" x14ac:dyDescent="0.25">
      <c r="F50" s="20" t="s">
        <v>118</v>
      </c>
      <c r="H50" s="19">
        <f>(G11*H11)+(G12*G11*H12)+(SUM('BASIC IO REQs'!D23:H23, Q7)*H37)</f>
        <v>13.9</v>
      </c>
      <c r="I50" s="39">
        <f>SUM('BASIC IO REQs'!D23:H23, Q7)</f>
        <v>5</v>
      </c>
    </row>
    <row r="51" spans="6:9" x14ac:dyDescent="0.25">
      <c r="F51" s="20" t="s">
        <v>119</v>
      </c>
      <c r="H51" s="19">
        <f>(K6*L6)+(SUM('BASIC IO REQs'!D24:H24, R7)*H37)</f>
        <v>34.28</v>
      </c>
      <c r="I51" s="39">
        <f>SUM('BASIC IO REQs'!D24:H24, R7)</f>
        <v>6</v>
      </c>
    </row>
    <row r="52" spans="6:9" x14ac:dyDescent="0.25">
      <c r="F52" s="20" t="s">
        <v>120</v>
      </c>
      <c r="H52" s="19">
        <f>(K11*L11)+(SUM('BASIC IO REQs'!D25:H25, S7)*H37)</f>
        <v>13.52</v>
      </c>
      <c r="I52" s="39">
        <f>SUM('BASIC IO REQs'!D25:H25, S7)</f>
        <v>4</v>
      </c>
    </row>
    <row r="53" spans="6:9" x14ac:dyDescent="0.25">
      <c r="H53" s="39">
        <f>SUM(H47:H52)</f>
        <v>192.77250000000001</v>
      </c>
      <c r="I53" s="39">
        <f>SUM(I47:I52)</f>
        <v>43</v>
      </c>
    </row>
    <row r="58" spans="6:9" x14ac:dyDescent="0.25">
      <c r="F58" s="39" t="s">
        <v>60</v>
      </c>
      <c r="H58" s="39">
        <f>SUM(H60:H62)</f>
        <v>7</v>
      </c>
    </row>
    <row r="59" spans="6:9" x14ac:dyDescent="0.25">
      <c r="F59" s="39" t="s">
        <v>82</v>
      </c>
      <c r="H59" s="39">
        <f>(1+ DIMENSIONS!$H$58)+AND(DIMENSIONS!$H60 &gt; 0, DIMENSIONS!$H61 &gt; 0)</f>
        <v>9</v>
      </c>
    </row>
    <row r="60" spans="6:9" x14ac:dyDescent="0.25">
      <c r="F60" s="20" t="s">
        <v>80</v>
      </c>
      <c r="H60" s="57">
        <v>4</v>
      </c>
    </row>
    <row r="61" spans="6:9" x14ac:dyDescent="0.25">
      <c r="F61" s="20" t="s">
        <v>81</v>
      </c>
      <c r="H61" s="57">
        <v>3</v>
      </c>
    </row>
    <row r="62" spans="6:9" x14ac:dyDescent="0.25">
      <c r="F62" s="20" t="s">
        <v>63</v>
      </c>
      <c r="H62" s="57">
        <v>0</v>
      </c>
    </row>
    <row r="65" spans="6:8" x14ac:dyDescent="0.25">
      <c r="F65" s="39" t="s">
        <v>59</v>
      </c>
      <c r="H65" s="56">
        <v>0.2</v>
      </c>
    </row>
    <row r="67" spans="6:8" x14ac:dyDescent="0.25">
      <c r="F67" s="39" t="s">
        <v>50</v>
      </c>
      <c r="H67" s="19">
        <v>78</v>
      </c>
    </row>
    <row r="68" spans="6:8" x14ac:dyDescent="0.25">
      <c r="F68" s="39" t="s">
        <v>40</v>
      </c>
      <c r="H68" s="19">
        <v>68</v>
      </c>
    </row>
  </sheetData>
  <mergeCells count="11">
    <mergeCell ref="B4:C4"/>
    <mergeCell ref="J4:L4"/>
    <mergeCell ref="J9:L9"/>
    <mergeCell ref="F35:H35"/>
    <mergeCell ref="O2:S2"/>
    <mergeCell ref="F29:H29"/>
    <mergeCell ref="F4:H4"/>
    <mergeCell ref="F9:H9"/>
    <mergeCell ref="F14:H14"/>
    <mergeCell ref="J14:L14"/>
    <mergeCell ref="F2:I2"/>
  </mergeCells>
  <conditionalFormatting sqref="F7:H7">
    <cfRule type="expression" dxfId="26" priority="3">
      <formula>IF(($F$6="Fused TBs"), 0, 1)</formula>
    </cfRule>
  </conditionalFormatting>
  <conditionalFormatting sqref="G24">
    <cfRule type="expression" dxfId="25" priority="1">
      <formula>($P$7+$Q$7)&gt;$G$24</formula>
    </cfRule>
  </conditionalFormatting>
  <conditionalFormatting sqref="P7:S7">
    <cfRule type="expression" dxfId="24" priority="20">
      <formula>($P$7+$Q$7)&gt;$G$24</formula>
    </cfRule>
  </conditionalFormatting>
  <dataValidations disablePrompts="1" count="9">
    <dataValidation type="list" showDropDown="1" showInputMessage="1" showErrorMessage="1" sqref="H24 H20:H22 L23 L19" xr:uid="{9D240FD8-8A1C-41D1-B876-F3CF390F1502}">
      <formula1>"-"</formula1>
    </dataValidation>
    <dataValidation type="list" showInputMessage="1" showErrorMessage="1" sqref="H44" xr:uid="{0B618404-8FB2-4B9F-B2E0-2B544C3BA063}">
      <formula1>"Horizontal, Vertical"</formula1>
    </dataValidation>
    <dataValidation type="decimal" allowBlank="1" showInputMessage="1" showErrorMessage="1" sqref="C5:C14" xr:uid="{DC19F7E7-B40D-40AC-AD03-554D879915F0}">
      <formula1>0</formula1>
      <formula2>20</formula2>
    </dataValidation>
    <dataValidation type="whole" allowBlank="1" showInputMessage="1" showErrorMessage="1" sqref="G24 G18:G19 G31 K18 K21:K23" xr:uid="{C4DEB915-ECEA-4739-A1F9-C2B5F3D0D19F}">
      <formula1>0</formula1>
      <formula2>100</formula2>
    </dataValidation>
    <dataValidation type="decimal" allowBlank="1" showInputMessage="1" showErrorMessage="1" promptTitle="—————Sizing—————" prompt="Approx 0.8&quot; - 1.5&quot;/Channel" sqref="L11 L6" xr:uid="{47A9445F-B8B9-4952-AC21-5CFEEDDF79AA}">
      <formula1>0</formula1>
      <formula2>10</formula2>
    </dataValidation>
    <dataValidation type="list" allowBlank="1" showInputMessage="1" showErrorMessage="1" sqref="F6" xr:uid="{48DFA18F-AB0A-4B86-B450-432C2E314E0C}">
      <formula1>"Fused TBs, Fused Multilevel TBs"</formula1>
    </dataValidation>
    <dataValidation type="whole" allowBlank="1" showInputMessage="1" showErrorMessage="1" sqref="H43" xr:uid="{F700A411-4FDE-4994-A961-1C6080E8DFBA}">
      <formula1>0</formula1>
      <formula2>6</formula2>
    </dataValidation>
    <dataValidation type="whole" allowBlank="1" showInputMessage="1" showErrorMessage="1" sqref="H60:H62 G12" xr:uid="{128D041B-D46D-4C90-A670-D57199B88F81}">
      <formula1>0</formula1>
      <formula2>10</formula2>
    </dataValidation>
    <dataValidation type="list" allowBlank="1" showInputMessage="1" showErrorMessage="1" sqref="O7" xr:uid="{E7A1DEC7-DFAB-4B93-A5D3-91F430872A7D}">
      <formula1>"Spare Slot Allotment, % Spares (Minimum 2)"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62B02-7905-4910-83BC-DACD41778FB4}">
  <sheetPr codeName="Sheet3"/>
  <dimension ref="B1:AZ18"/>
  <sheetViews>
    <sheetView showGridLines="0" tabSelected="1" zoomScaleNormal="100" workbookViewId="0">
      <selection activeCell="F6" sqref="F6"/>
    </sheetView>
  </sheetViews>
  <sheetFormatPr defaultRowHeight="15" x14ac:dyDescent="0.25"/>
  <cols>
    <col min="1" max="1" width="3.7109375" customWidth="1"/>
    <col min="2" max="2" width="9.140625" style="39"/>
    <col min="3" max="3" width="10" style="39" customWidth="1"/>
    <col min="4" max="4" width="9.140625" customWidth="1"/>
    <col min="6" max="6" width="11.42578125" customWidth="1"/>
  </cols>
  <sheetData>
    <row r="1" spans="2:52" x14ac:dyDescent="0.25">
      <c r="AZ1" t="s">
        <v>44</v>
      </c>
    </row>
    <row r="5" spans="2:52" s="39" customFormat="1" ht="30" x14ac:dyDescent="0.25">
      <c r="B5" s="15" t="s">
        <v>79</v>
      </c>
      <c r="C5" s="15" t="s">
        <v>62</v>
      </c>
      <c r="E5" s="21"/>
      <c r="F5" s="21" t="s">
        <v>64</v>
      </c>
    </row>
    <row r="6" spans="2:52" x14ac:dyDescent="0.25">
      <c r="B6" s="42" t="s">
        <v>66</v>
      </c>
      <c r="C6" s="83">
        <v>1</v>
      </c>
      <c r="D6" s="85">
        <f>ROW(C6)-(ROW($C$6)-1)</f>
        <v>1</v>
      </c>
      <c r="E6" s="82" t="s">
        <v>65</v>
      </c>
      <c r="F6" s="84">
        <v>10</v>
      </c>
    </row>
    <row r="7" spans="2:52" x14ac:dyDescent="0.25">
      <c r="B7" s="42" t="s">
        <v>67</v>
      </c>
      <c r="C7" s="83">
        <v>1</v>
      </c>
      <c r="D7" s="85">
        <f t="shared" ref="D7:D18" si="0">ROW(C7)-(ROW($C$6)-1)</f>
        <v>2</v>
      </c>
      <c r="E7" s="82" t="s">
        <v>30</v>
      </c>
      <c r="F7" s="84">
        <v>10</v>
      </c>
    </row>
    <row r="8" spans="2:52" x14ac:dyDescent="0.25">
      <c r="B8" s="42" t="s">
        <v>68</v>
      </c>
      <c r="C8" s="83">
        <v>1</v>
      </c>
      <c r="D8" s="85">
        <f t="shared" si="0"/>
        <v>3</v>
      </c>
    </row>
    <row r="9" spans="2:52" x14ac:dyDescent="0.25">
      <c r="B9" s="42" t="s">
        <v>69</v>
      </c>
      <c r="C9" s="83">
        <v>1</v>
      </c>
      <c r="D9" s="85">
        <f t="shared" si="0"/>
        <v>4</v>
      </c>
    </row>
    <row r="10" spans="2:52" x14ac:dyDescent="0.25">
      <c r="B10" s="42" t="s">
        <v>70</v>
      </c>
      <c r="C10" s="83">
        <v>1</v>
      </c>
      <c r="D10" s="85">
        <f t="shared" si="0"/>
        <v>5</v>
      </c>
    </row>
    <row r="11" spans="2:52" x14ac:dyDescent="0.25">
      <c r="B11" s="42" t="s">
        <v>71</v>
      </c>
      <c r="C11" s="83">
        <v>1</v>
      </c>
      <c r="D11" s="85">
        <f t="shared" si="0"/>
        <v>6</v>
      </c>
    </row>
    <row r="12" spans="2:52" x14ac:dyDescent="0.25">
      <c r="B12" s="42" t="s">
        <v>72</v>
      </c>
      <c r="C12" s="83">
        <v>1</v>
      </c>
      <c r="D12" s="85">
        <f t="shared" si="0"/>
        <v>7</v>
      </c>
    </row>
    <row r="13" spans="2:52" x14ac:dyDescent="0.25">
      <c r="B13" s="42" t="s">
        <v>73</v>
      </c>
      <c r="C13" s="83">
        <v>1</v>
      </c>
      <c r="D13" s="85">
        <f t="shared" si="0"/>
        <v>8</v>
      </c>
    </row>
    <row r="14" spans="2:52" x14ac:dyDescent="0.25">
      <c r="B14" s="42" t="s">
        <v>74</v>
      </c>
      <c r="C14" s="83">
        <v>1</v>
      </c>
      <c r="D14" s="85">
        <f t="shared" si="0"/>
        <v>9</v>
      </c>
    </row>
    <row r="15" spans="2:52" x14ac:dyDescent="0.25">
      <c r="B15" s="42" t="s">
        <v>75</v>
      </c>
      <c r="C15" s="83">
        <v>1</v>
      </c>
      <c r="D15" s="85">
        <f t="shared" si="0"/>
        <v>10</v>
      </c>
    </row>
    <row r="16" spans="2:52" x14ac:dyDescent="0.25">
      <c r="B16" s="42" t="s">
        <v>76</v>
      </c>
      <c r="C16" s="83">
        <v>1</v>
      </c>
      <c r="D16" s="85">
        <f t="shared" si="0"/>
        <v>11</v>
      </c>
    </row>
    <row r="17" spans="2:4" x14ac:dyDescent="0.25">
      <c r="B17" s="42" t="s">
        <v>77</v>
      </c>
      <c r="C17" s="83">
        <v>1</v>
      </c>
      <c r="D17" s="85">
        <f t="shared" si="0"/>
        <v>12</v>
      </c>
    </row>
    <row r="18" spans="2:4" x14ac:dyDescent="0.25">
      <c r="B18" s="42" t="s">
        <v>78</v>
      </c>
      <c r="C18" s="83">
        <v>1</v>
      </c>
      <c r="D18" s="85">
        <f t="shared" si="0"/>
        <v>13</v>
      </c>
    </row>
  </sheetData>
  <conditionalFormatting sqref="B6:C18">
    <cfRule type="expression" dxfId="23" priority="19">
      <formula>IF(((1 +#REF!)+IF(AND(#REF! &gt; 0,#REF! &gt; 0), 0, 1)) &gt;= (ROW(C6)-(ROW($C$6)-1)), 0, 1)</formula>
    </cfRule>
  </conditionalFormatting>
  <dataValidations count="1">
    <dataValidation type="decimal" allowBlank="1" showInputMessage="1" showErrorMessage="1" sqref="F6:F7" xr:uid="{62C104C4-41CD-42E7-AF40-D7FC65EBB734}">
      <formula1>0</formula1>
      <formula2>120</formula2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64DD73-DB51-4D4A-9E2A-5B3C3EB4AB9A}">
  <sheetPr codeName="Sheet4"/>
  <dimension ref="B1:AZ48"/>
  <sheetViews>
    <sheetView workbookViewId="0">
      <selection activeCell="D37" sqref="D37"/>
    </sheetView>
  </sheetViews>
  <sheetFormatPr defaultRowHeight="15" x14ac:dyDescent="0.25"/>
  <cols>
    <col min="1" max="1" width="3.7109375" style="39" customWidth="1"/>
    <col min="2" max="2" width="30.7109375" style="39" bestFit="1" customWidth="1"/>
    <col min="3" max="3" width="10.140625" style="39" customWidth="1"/>
    <col min="4" max="5" width="4.7109375" style="39" customWidth="1"/>
    <col min="6" max="6" width="10.140625" style="38" customWidth="1"/>
    <col min="7" max="7" width="9.7109375" style="38" customWidth="1"/>
    <col min="8" max="8" width="11.42578125" style="38" customWidth="1"/>
    <col min="9" max="9" width="13.140625" style="23" customWidth="1"/>
    <col min="10" max="10" width="12.28515625" style="38" customWidth="1"/>
    <col min="11" max="11" width="15.140625" style="23" customWidth="1"/>
    <col min="12" max="12" width="14.5703125" style="38" customWidth="1"/>
    <col min="13" max="13" width="15.28515625" style="39" customWidth="1"/>
    <col min="14" max="14" width="9.140625" style="39"/>
    <col min="15" max="16" width="10.140625" style="39" customWidth="1"/>
    <col min="17" max="17" width="12" style="39" customWidth="1"/>
    <col min="18" max="18" width="15.140625" style="39" customWidth="1"/>
    <col min="19" max="19" width="13" style="39" customWidth="1"/>
    <col min="20" max="20" width="15" style="39" customWidth="1"/>
    <col min="21" max="16384" width="9.140625" style="39"/>
  </cols>
  <sheetData>
    <row r="1" spans="2:52" ht="15.75" thickBot="1" x14ac:dyDescent="0.3">
      <c r="AZ1" s="39" t="s">
        <v>44</v>
      </c>
    </row>
    <row r="2" spans="2:52" x14ac:dyDescent="0.25">
      <c r="B2" s="113" t="s">
        <v>47</v>
      </c>
      <c r="C2" s="113"/>
      <c r="F2" s="114" t="s">
        <v>56</v>
      </c>
      <c r="G2" s="115"/>
      <c r="H2" s="115"/>
      <c r="I2" s="115"/>
      <c r="J2" s="115"/>
      <c r="K2" s="115"/>
      <c r="L2" s="115"/>
      <c r="M2" s="116"/>
      <c r="N2" s="117" t="s">
        <v>57</v>
      </c>
      <c r="O2" s="118"/>
      <c r="P2" s="118"/>
      <c r="Q2" s="118"/>
      <c r="R2" s="118"/>
      <c r="S2" s="118"/>
      <c r="T2" s="119"/>
    </row>
    <row r="3" spans="2:52" ht="45" x14ac:dyDescent="0.25">
      <c r="B3" s="28" t="s">
        <v>48</v>
      </c>
      <c r="C3" s="29" t="s">
        <v>30</v>
      </c>
      <c r="F3" s="58" t="s">
        <v>46</v>
      </c>
      <c r="G3" s="59" t="s">
        <v>40</v>
      </c>
      <c r="H3" s="59" t="s">
        <v>42</v>
      </c>
      <c r="I3" s="59" t="s">
        <v>41</v>
      </c>
      <c r="J3" s="59" t="s">
        <v>45</v>
      </c>
      <c r="K3" s="59" t="s">
        <v>58</v>
      </c>
      <c r="L3" s="59" t="s">
        <v>39</v>
      </c>
      <c r="M3" s="60" t="s">
        <v>43</v>
      </c>
      <c r="N3" s="68" t="s">
        <v>49</v>
      </c>
      <c r="O3" s="34" t="s">
        <v>54</v>
      </c>
      <c r="P3" s="34" t="s">
        <v>50</v>
      </c>
      <c r="Q3" s="34" t="s">
        <v>51</v>
      </c>
      <c r="R3" s="34" t="s">
        <v>53</v>
      </c>
      <c r="S3" s="34" t="s">
        <v>55</v>
      </c>
      <c r="T3" s="69" t="s">
        <v>52</v>
      </c>
    </row>
    <row r="4" spans="2:52" x14ac:dyDescent="0.25">
      <c r="B4" s="25" t="s">
        <v>91</v>
      </c>
      <c r="C4" s="27">
        <v>29</v>
      </c>
      <c r="F4" s="61">
        <v>3</v>
      </c>
      <c r="G4" s="24">
        <v>32</v>
      </c>
      <c r="H4" s="24">
        <f>1.25+1.25+2.25+2.25+3.25+3.25</f>
        <v>13.5</v>
      </c>
      <c r="I4" s="54">
        <f t="shared" ref="I4:I26" si="0">(G4-H4)/G4</f>
        <v>0.578125</v>
      </c>
      <c r="J4" s="22">
        <f t="shared" ref="J4:J26" si="1">ROUNDUP((I4*G4)/F4, 2)</f>
        <v>6.17</v>
      </c>
      <c r="K4" s="54">
        <f>ROUNDDOWN(Table146[[#This Row],[DIN Rail Columns]]/Table146[[#This Row],[Subpanel Width]], 3)</f>
        <v>9.2999999999999999E-2</v>
      </c>
      <c r="L4" s="54">
        <f t="shared" ref="L4:L26" si="2">H4/G4</f>
        <v>0.421875</v>
      </c>
      <c r="M4" s="62">
        <f t="shared" ref="M4:M26" si="3">ROUNDUP((L4*G4)/F4, 2)</f>
        <v>4.5</v>
      </c>
      <c r="N4" s="70">
        <v>1</v>
      </c>
      <c r="O4" s="33">
        <v>1</v>
      </c>
      <c r="P4" s="32">
        <v>60</v>
      </c>
      <c r="Q4" s="32">
        <v>45.25</v>
      </c>
      <c r="R4" s="53">
        <f>Table146[[#This Row],[Height Used for DIN Rails]]/Table146[[#This Row],[Subpanel Height]]</f>
        <v>0.75416666666666665</v>
      </c>
      <c r="S4" s="53">
        <f>1-Table146[[#This Row],[DIN Rail Proportion]]</f>
        <v>0.24583333333333335</v>
      </c>
      <c r="T4" s="71">
        <f>(1-Table146[[#This Row],[DIN Rail Proportion]])*Table146[[#This Row],[Subpanel Height]]/Table146[[#This Row],[DIN Rail/ PLC Rows]]</f>
        <v>14.75</v>
      </c>
    </row>
    <row r="5" spans="2:52" x14ac:dyDescent="0.25">
      <c r="B5" s="25" t="s">
        <v>92</v>
      </c>
      <c r="C5" s="27">
        <v>23</v>
      </c>
      <c r="F5" s="61">
        <v>3</v>
      </c>
      <c r="G5" s="24">
        <v>32</v>
      </c>
      <c r="H5" s="24">
        <f>2+2+2+2+(0.25*4)</f>
        <v>9</v>
      </c>
      <c r="I5" s="54">
        <f t="shared" si="0"/>
        <v>0.71875</v>
      </c>
      <c r="J5" s="22">
        <f t="shared" si="1"/>
        <v>7.67</v>
      </c>
      <c r="K5" s="54">
        <f>ROUNDDOWN(Table146[[#This Row],[DIN Rail Columns]]/Table146[[#This Row],[Subpanel Width]], 3)</f>
        <v>9.2999999999999999E-2</v>
      </c>
      <c r="L5" s="54">
        <f t="shared" si="2"/>
        <v>0.28125</v>
      </c>
      <c r="M5" s="62">
        <f t="shared" si="3"/>
        <v>3</v>
      </c>
      <c r="N5" s="70">
        <v>1</v>
      </c>
      <c r="O5" s="33">
        <v>1</v>
      </c>
      <c r="P5" s="32">
        <v>60</v>
      </c>
      <c r="Q5" s="32">
        <v>48</v>
      </c>
      <c r="R5" s="53">
        <f>Table146[[#This Row],[Height Used for DIN Rails]]/Table146[[#This Row],[Subpanel Height]]</f>
        <v>0.8</v>
      </c>
      <c r="S5" s="53">
        <f>1-Table146[[#This Row],[DIN Rail Proportion]]</f>
        <v>0.19999999999999996</v>
      </c>
      <c r="T5" s="71">
        <f>(1-Table146[[#This Row],[DIN Rail Proportion]])*Table146[[#This Row],[Subpanel Height]]/Table146[[#This Row],[DIN Rail/ PLC Rows]]</f>
        <v>11.999999999999996</v>
      </c>
    </row>
    <row r="6" spans="2:52" x14ac:dyDescent="0.25">
      <c r="B6" s="25" t="s">
        <v>93</v>
      </c>
      <c r="C6" s="27">
        <v>19</v>
      </c>
      <c r="F6" s="61">
        <v>3</v>
      </c>
      <c r="G6" s="24">
        <v>34</v>
      </c>
      <c r="H6" s="24">
        <f>3+3+2+3+2+3+(0.25*6)</f>
        <v>17.5</v>
      </c>
      <c r="I6" s="54">
        <f t="shared" si="0"/>
        <v>0.48529411764705882</v>
      </c>
      <c r="J6" s="22">
        <f t="shared" si="1"/>
        <v>5.5</v>
      </c>
      <c r="K6" s="54">
        <f>ROUNDDOWN(Table146[[#This Row],[DIN Rail Columns]]/Table146[[#This Row],[Subpanel Width]], 3)</f>
        <v>8.7999999999999995E-2</v>
      </c>
      <c r="L6" s="54">
        <f t="shared" si="2"/>
        <v>0.51470588235294112</v>
      </c>
      <c r="M6" s="62">
        <f t="shared" si="3"/>
        <v>5.84</v>
      </c>
      <c r="N6" s="70">
        <v>1</v>
      </c>
      <c r="O6" s="33">
        <v>1</v>
      </c>
      <c r="P6" s="36">
        <v>78</v>
      </c>
      <c r="Q6" s="36">
        <v>62</v>
      </c>
      <c r="R6" s="46">
        <f>Table146[[#This Row],[Height Used for DIN Rails]]/Table146[[#This Row],[Subpanel Height]]</f>
        <v>0.79487179487179482</v>
      </c>
      <c r="S6" s="46">
        <f>1-Table146[[#This Row],[DIN Rail Proportion]]</f>
        <v>0.20512820512820518</v>
      </c>
      <c r="T6" s="72">
        <f>(1-Table146[[#This Row],[DIN Rail Proportion]])*Table146[[#This Row],[Subpanel Height]]/Table146[[#This Row],[DIN Rail/ PLC Rows]]</f>
        <v>16.000000000000004</v>
      </c>
    </row>
    <row r="7" spans="2:52" x14ac:dyDescent="0.25">
      <c r="B7" s="25" t="s">
        <v>94</v>
      </c>
      <c r="C7" s="27">
        <v>14.5</v>
      </c>
      <c r="F7" s="61">
        <v>3</v>
      </c>
      <c r="G7" s="24">
        <v>36.18</v>
      </c>
      <c r="H7" s="24">
        <f>3.25+3.25+2.25+3.25+3.25+3.25</f>
        <v>18.5</v>
      </c>
      <c r="I7" s="54">
        <f t="shared" si="0"/>
        <v>0.4886677722498618</v>
      </c>
      <c r="J7" s="22">
        <f t="shared" si="1"/>
        <v>5.8999999999999995</v>
      </c>
      <c r="K7" s="54">
        <f>ROUNDDOWN(Table146[[#This Row],[DIN Rail Columns]]/Table146[[#This Row],[Subpanel Width]], 3)</f>
        <v>8.2000000000000003E-2</v>
      </c>
      <c r="L7" s="54">
        <f t="shared" si="2"/>
        <v>0.5113322277501382</v>
      </c>
      <c r="M7" s="62">
        <f t="shared" si="3"/>
        <v>6.17</v>
      </c>
      <c r="N7" s="70">
        <v>1</v>
      </c>
      <c r="O7" s="33">
        <v>1</v>
      </c>
      <c r="P7" s="32">
        <v>60</v>
      </c>
      <c r="Q7" s="32">
        <v>46.25</v>
      </c>
      <c r="R7" s="47">
        <f>Table146[[#This Row],[Height Used for DIN Rails]]/Table146[[#This Row],[Subpanel Height]]</f>
        <v>0.77083333333333337</v>
      </c>
      <c r="S7" s="47">
        <f>1-Table146[[#This Row],[DIN Rail Proportion]]</f>
        <v>0.22916666666666663</v>
      </c>
      <c r="T7" s="73">
        <f>(1-Table146[[#This Row],[DIN Rail Proportion]])*Table146[[#This Row],[Subpanel Height]]/Table146[[#This Row],[DIN Rail/ PLC Rows]]</f>
        <v>13.749999999999998</v>
      </c>
    </row>
    <row r="8" spans="2:52" x14ac:dyDescent="0.25">
      <c r="B8" s="25" t="s">
        <v>95</v>
      </c>
      <c r="C8" s="27">
        <v>10.35</v>
      </c>
      <c r="F8" s="61">
        <v>4</v>
      </c>
      <c r="G8" s="24">
        <v>31</v>
      </c>
      <c r="H8" s="24">
        <f>1.75+1.75+2.25+1.75+1.75</f>
        <v>9.25</v>
      </c>
      <c r="I8" s="54">
        <f t="shared" si="0"/>
        <v>0.70161290322580649</v>
      </c>
      <c r="J8" s="22">
        <f t="shared" si="1"/>
        <v>5.4399999999999995</v>
      </c>
      <c r="K8" s="54">
        <f>ROUNDDOWN(Table146[[#This Row],[DIN Rail Columns]]/Table146[[#This Row],[Subpanel Width]], 3)</f>
        <v>0.129</v>
      </c>
      <c r="L8" s="54">
        <f t="shared" si="2"/>
        <v>0.29838709677419356</v>
      </c>
      <c r="M8" s="62">
        <f t="shared" si="3"/>
        <v>2.3199999999999998</v>
      </c>
      <c r="N8" s="70">
        <v>1</v>
      </c>
      <c r="O8" s="33">
        <v>1</v>
      </c>
      <c r="P8" s="32">
        <v>53</v>
      </c>
      <c r="Q8" s="32">
        <v>42.75</v>
      </c>
      <c r="R8" s="47">
        <f>Table146[[#This Row],[Height Used for DIN Rails]]/Table146[[#This Row],[Subpanel Height]]</f>
        <v>0.80660377358490565</v>
      </c>
      <c r="S8" s="47">
        <f>1-Table146[[#This Row],[DIN Rail Proportion]]</f>
        <v>0.19339622641509435</v>
      </c>
      <c r="T8" s="73">
        <f>(1-Table146[[#This Row],[DIN Rail Proportion]])*Table146[[#This Row],[Subpanel Height]]/Table146[[#This Row],[DIN Rail/ PLC Rows]]</f>
        <v>10.25</v>
      </c>
    </row>
    <row r="9" spans="2:52" x14ac:dyDescent="0.25">
      <c r="B9" s="25" t="s">
        <v>96</v>
      </c>
      <c r="C9" s="27">
        <v>3.9</v>
      </c>
      <c r="F9" s="61">
        <v>4</v>
      </c>
      <c r="G9" s="24">
        <v>33</v>
      </c>
      <c r="H9" s="24">
        <f>2+2+3+3+2+(0.25*5)</f>
        <v>13.25</v>
      </c>
      <c r="I9" s="54">
        <f t="shared" si="0"/>
        <v>0.59848484848484851</v>
      </c>
      <c r="J9" s="22">
        <f t="shared" si="1"/>
        <v>4.9399999999999995</v>
      </c>
      <c r="K9" s="54">
        <f>ROUNDDOWN(Table146[[#This Row],[DIN Rail Columns]]/Table146[[#This Row],[Subpanel Width]], 3)</f>
        <v>0.121</v>
      </c>
      <c r="L9" s="54">
        <f t="shared" si="2"/>
        <v>0.40151515151515149</v>
      </c>
      <c r="M9" s="62">
        <f t="shared" si="3"/>
        <v>3.32</v>
      </c>
      <c r="N9" s="70">
        <v>1</v>
      </c>
      <c r="O9" s="33">
        <v>1</v>
      </c>
      <c r="P9" s="51">
        <v>57</v>
      </c>
      <c r="Q9" s="32">
        <v>41.75</v>
      </c>
      <c r="R9" s="47">
        <f>Table146[[#This Row],[Height Used for DIN Rails]]/Table146[[#This Row],[Subpanel Height]]</f>
        <v>0.73245614035087714</v>
      </c>
      <c r="S9" s="47">
        <f>1-Table146[[#This Row],[DIN Rail Proportion]]</f>
        <v>0.26754385964912286</v>
      </c>
      <c r="T9" s="73">
        <f>(1-Table146[[#This Row],[DIN Rail Proportion]])*Table146[[#This Row],[Subpanel Height]]/Table146[[#This Row],[DIN Rail/ PLC Rows]]</f>
        <v>15.250000000000004</v>
      </c>
    </row>
    <row r="10" spans="2:52" x14ac:dyDescent="0.25">
      <c r="B10" s="25" t="s">
        <v>97</v>
      </c>
      <c r="C10" s="27">
        <v>0.9</v>
      </c>
      <c r="F10" s="61">
        <v>4</v>
      </c>
      <c r="G10" s="24">
        <v>56</v>
      </c>
      <c r="H10" s="24">
        <f>4+4+4+4+4+4+4+(0.25*7)</f>
        <v>29.75</v>
      </c>
      <c r="I10" s="54">
        <f t="shared" si="0"/>
        <v>0.46875</v>
      </c>
      <c r="J10" s="22">
        <f t="shared" si="1"/>
        <v>6.5699999999999994</v>
      </c>
      <c r="K10" s="54">
        <f>ROUNDDOWN(Table146[[#This Row],[DIN Rail Columns]]/Table146[[#This Row],[Subpanel Width]], 3)</f>
        <v>7.0999999999999994E-2</v>
      </c>
      <c r="L10" s="54">
        <f t="shared" si="2"/>
        <v>0.53125</v>
      </c>
      <c r="M10" s="62">
        <f t="shared" si="3"/>
        <v>7.4399999999999995</v>
      </c>
      <c r="N10" s="70">
        <v>1</v>
      </c>
      <c r="O10" s="35">
        <v>1</v>
      </c>
      <c r="P10" s="36">
        <v>78</v>
      </c>
      <c r="Q10" s="36">
        <v>58</v>
      </c>
      <c r="R10" s="37">
        <f>Table146[[#This Row],[Height Used for DIN Rails]]/Table146[[#This Row],[Subpanel Height]]</f>
        <v>0.74358974358974361</v>
      </c>
      <c r="S10" s="37">
        <f>1-Table146[[#This Row],[DIN Rail Proportion]]</f>
        <v>0.25641025641025639</v>
      </c>
      <c r="T10" s="74">
        <f>(1-Table146[[#This Row],[DIN Rail Proportion]])*Table146[[#This Row],[Subpanel Height]]/Table146[[#This Row],[DIN Rail/ PLC Rows]]</f>
        <v>20</v>
      </c>
    </row>
    <row r="11" spans="2:52" x14ac:dyDescent="0.25">
      <c r="B11" s="26"/>
      <c r="C11" s="27"/>
      <c r="F11" s="61">
        <v>4</v>
      </c>
      <c r="G11" s="24">
        <v>33.5</v>
      </c>
      <c r="H11" s="24">
        <f>2+2+2+2+2+(0.25*5)</f>
        <v>11.25</v>
      </c>
      <c r="I11" s="54">
        <f t="shared" si="0"/>
        <v>0.66417910447761197</v>
      </c>
      <c r="J11" s="22">
        <f t="shared" si="1"/>
        <v>5.5699999999999994</v>
      </c>
      <c r="K11" s="54">
        <f>ROUNDDOWN(Table146[[#This Row],[DIN Rail Columns]]/Table146[[#This Row],[Subpanel Width]], 3)</f>
        <v>0.11899999999999999</v>
      </c>
      <c r="L11" s="54">
        <f t="shared" si="2"/>
        <v>0.33582089552238809</v>
      </c>
      <c r="M11" s="62">
        <f t="shared" si="3"/>
        <v>2.82</v>
      </c>
      <c r="N11" s="70">
        <v>1</v>
      </c>
      <c r="O11" s="33">
        <v>1</v>
      </c>
      <c r="P11" s="32">
        <v>56</v>
      </c>
      <c r="Q11" s="32">
        <v>41</v>
      </c>
      <c r="R11" s="47">
        <f>Table146[[#This Row],[Height Used for DIN Rails]]/Table146[[#This Row],[Subpanel Height]]</f>
        <v>0.7321428571428571</v>
      </c>
      <c r="S11" s="47">
        <f>1-Table146[[#This Row],[DIN Rail Proportion]]</f>
        <v>0.2678571428571429</v>
      </c>
      <c r="T11" s="73">
        <f>(1-Table146[[#This Row],[DIN Rail Proportion]])*Table146[[#This Row],[Subpanel Height]]/Table146[[#This Row],[DIN Rail/ PLC Rows]]</f>
        <v>15.000000000000004</v>
      </c>
    </row>
    <row r="12" spans="2:52" x14ac:dyDescent="0.25">
      <c r="B12" s="26"/>
      <c r="C12" s="27"/>
      <c r="F12" s="61">
        <v>4</v>
      </c>
      <c r="G12" s="24">
        <v>44</v>
      </c>
      <c r="H12" s="24">
        <f>2+2+2+2+2+2+2+(0.25*7)</f>
        <v>15.75</v>
      </c>
      <c r="I12" s="54">
        <f t="shared" si="0"/>
        <v>0.64204545454545459</v>
      </c>
      <c r="J12" s="22">
        <f t="shared" si="1"/>
        <v>7.0699999999999994</v>
      </c>
      <c r="K12" s="54">
        <f>ROUNDDOWN(Table146[[#This Row],[DIN Rail Columns]]/Table146[[#This Row],[Subpanel Width]], 3)</f>
        <v>0.09</v>
      </c>
      <c r="L12" s="54">
        <f t="shared" si="2"/>
        <v>0.35795454545454547</v>
      </c>
      <c r="M12" s="62">
        <f t="shared" si="3"/>
        <v>3.94</v>
      </c>
      <c r="N12" s="70">
        <v>1</v>
      </c>
      <c r="O12" s="33">
        <v>1</v>
      </c>
      <c r="P12" s="32">
        <v>44</v>
      </c>
      <c r="Q12" s="32">
        <v>29.25</v>
      </c>
      <c r="R12" s="37">
        <f>Table146[[#This Row],[Height Used for DIN Rails]]/Table146[[#This Row],[Subpanel Height]]</f>
        <v>0.66477272727272729</v>
      </c>
      <c r="S12" s="37">
        <f>1-Table146[[#This Row],[DIN Rail Proportion]]</f>
        <v>0.33522727272727271</v>
      </c>
      <c r="T12" s="74">
        <f>(1-Table146[[#This Row],[DIN Rail Proportion]])*Table146[[#This Row],[Subpanel Height]]/Table146[[#This Row],[DIN Rail/ PLC Rows]]</f>
        <v>14.75</v>
      </c>
    </row>
    <row r="13" spans="2:52" x14ac:dyDescent="0.25">
      <c r="B13" s="26"/>
      <c r="C13" s="27"/>
      <c r="F13" s="61">
        <v>4</v>
      </c>
      <c r="G13" s="24">
        <v>44</v>
      </c>
      <c r="H13" s="24">
        <f>3+2+2+2+3+(0.25*5)</f>
        <v>13.25</v>
      </c>
      <c r="I13" s="54">
        <f t="shared" si="0"/>
        <v>0.69886363636363635</v>
      </c>
      <c r="J13" s="22">
        <f t="shared" si="1"/>
        <v>7.6899999999999995</v>
      </c>
      <c r="K13" s="54">
        <f>ROUNDDOWN(Table146[[#This Row],[DIN Rail Columns]]/Table146[[#This Row],[Subpanel Width]], 3)</f>
        <v>0.09</v>
      </c>
      <c r="L13" s="54">
        <f t="shared" si="2"/>
        <v>0.30113636363636365</v>
      </c>
      <c r="M13" s="62">
        <f t="shared" si="3"/>
        <v>3.32</v>
      </c>
      <c r="N13" s="70">
        <v>1</v>
      </c>
      <c r="O13" s="33">
        <v>1</v>
      </c>
      <c r="P13" s="32">
        <v>55.75</v>
      </c>
      <c r="Q13" s="32">
        <v>36.25</v>
      </c>
      <c r="R13" s="47">
        <f>Table146[[#This Row],[Height Used for DIN Rails]]/Table146[[#This Row],[Subpanel Height]]</f>
        <v>0.65022421524663676</v>
      </c>
      <c r="S13" s="47">
        <f>1-Table146[[#This Row],[DIN Rail Proportion]]</f>
        <v>0.34977578475336324</v>
      </c>
      <c r="T13" s="73">
        <f>(1-Table146[[#This Row],[DIN Rail Proportion]])*Table146[[#This Row],[Subpanel Height]]/Table146[[#This Row],[DIN Rail/ PLC Rows]]</f>
        <v>19.5</v>
      </c>
    </row>
    <row r="14" spans="2:52" x14ac:dyDescent="0.25">
      <c r="B14" s="30"/>
      <c r="C14" s="31"/>
      <c r="F14" s="61">
        <v>4</v>
      </c>
      <c r="G14" s="24">
        <v>44</v>
      </c>
      <c r="H14" s="24">
        <f>2+2+2+2+3+4+3+(0.25*7)</f>
        <v>19.75</v>
      </c>
      <c r="I14" s="54">
        <f t="shared" si="0"/>
        <v>0.55113636363636365</v>
      </c>
      <c r="J14" s="22">
        <f t="shared" si="1"/>
        <v>6.0699999999999994</v>
      </c>
      <c r="K14" s="54">
        <f>ROUNDDOWN(Table146[[#This Row],[DIN Rail Columns]]/Table146[[#This Row],[Subpanel Width]], 3)</f>
        <v>0.09</v>
      </c>
      <c r="L14" s="54">
        <f t="shared" si="2"/>
        <v>0.44886363636363635</v>
      </c>
      <c r="M14" s="62">
        <f t="shared" si="3"/>
        <v>4.9399999999999995</v>
      </c>
      <c r="N14" s="70">
        <v>1</v>
      </c>
      <c r="O14" s="33">
        <v>1</v>
      </c>
      <c r="P14" s="32">
        <v>60</v>
      </c>
      <c r="Q14" s="32">
        <v>44.75</v>
      </c>
      <c r="R14" s="52">
        <f>Table146[[#This Row],[Height Used for DIN Rails]]/Table146[[#This Row],[Subpanel Height]]</f>
        <v>0.74583333333333335</v>
      </c>
      <c r="S14" s="52">
        <f>1-Table146[[#This Row],[DIN Rail Proportion]]</f>
        <v>0.25416666666666665</v>
      </c>
      <c r="T14" s="75">
        <f>(1-Table146[[#This Row],[DIN Rail Proportion]])*Table146[[#This Row],[Subpanel Height]]/Table146[[#This Row],[DIN Rail/ PLC Rows]]</f>
        <v>15.25</v>
      </c>
    </row>
    <row r="15" spans="2:52" x14ac:dyDescent="0.25">
      <c r="F15" s="61">
        <v>5</v>
      </c>
      <c r="G15" s="24">
        <v>44</v>
      </c>
      <c r="H15" s="24">
        <f>2.25+2.25+2.25+2.25+2.25+2.25+2.25</f>
        <v>15.75</v>
      </c>
      <c r="I15" s="54">
        <f t="shared" si="0"/>
        <v>0.64204545454545459</v>
      </c>
      <c r="J15" s="22">
        <f t="shared" si="1"/>
        <v>5.65</v>
      </c>
      <c r="K15" s="54">
        <f>ROUNDDOWN(Table146[[#This Row],[DIN Rail Columns]]/Table146[[#This Row],[Subpanel Width]], 3)</f>
        <v>0.113</v>
      </c>
      <c r="L15" s="54">
        <f t="shared" si="2"/>
        <v>0.35795454545454547</v>
      </c>
      <c r="M15" s="62">
        <f t="shared" si="3"/>
        <v>3.15</v>
      </c>
      <c r="N15" s="70">
        <v>1</v>
      </c>
      <c r="O15" s="33">
        <v>1</v>
      </c>
      <c r="P15" s="32">
        <v>48</v>
      </c>
      <c r="Q15" s="32">
        <v>36</v>
      </c>
      <c r="R15" s="47">
        <f>Table146[[#This Row],[Height Used for DIN Rails]]/Table146[[#This Row],[Subpanel Height]]</f>
        <v>0.75</v>
      </c>
      <c r="S15" s="47">
        <f>1-Table146[[#This Row],[DIN Rail Proportion]]</f>
        <v>0.25</v>
      </c>
      <c r="T15" s="73">
        <f>(1-Table146[[#This Row],[DIN Rail Proportion]])*Table146[[#This Row],[Subpanel Height]]/Table146[[#This Row],[DIN Rail/ PLC Rows]]</f>
        <v>12</v>
      </c>
    </row>
    <row r="16" spans="2:52" x14ac:dyDescent="0.25">
      <c r="B16"/>
      <c r="C16"/>
      <c r="D16"/>
      <c r="F16" s="61">
        <v>5</v>
      </c>
      <c r="G16" s="24">
        <v>56</v>
      </c>
      <c r="H16" s="24">
        <f>4+4+4+4+4+4+(0.25*6)</f>
        <v>25.5</v>
      </c>
      <c r="I16" s="54">
        <f t="shared" si="0"/>
        <v>0.5446428571428571</v>
      </c>
      <c r="J16" s="22">
        <f t="shared" si="1"/>
        <v>6.1</v>
      </c>
      <c r="K16" s="54">
        <f>ROUNDDOWN(Table146[[#This Row],[DIN Rail Columns]]/Table146[[#This Row],[Subpanel Width]], 3)</f>
        <v>8.8999999999999996E-2</v>
      </c>
      <c r="L16" s="54">
        <f t="shared" si="2"/>
        <v>0.45535714285714285</v>
      </c>
      <c r="M16" s="62">
        <f t="shared" si="3"/>
        <v>5.0999999999999996</v>
      </c>
      <c r="N16" s="70">
        <v>1</v>
      </c>
      <c r="O16" s="35">
        <v>2</v>
      </c>
      <c r="P16" s="36">
        <v>78</v>
      </c>
      <c r="Q16" s="36">
        <v>58</v>
      </c>
      <c r="R16" s="37">
        <f>Table146[[#This Row],[Height Used for DIN Rails]]/Table146[[#This Row],[Subpanel Height]]</f>
        <v>0.74358974358974361</v>
      </c>
      <c r="S16" s="37">
        <f>1-Table146[[#This Row],[DIN Rail Proportion]]</f>
        <v>0.25641025641025639</v>
      </c>
      <c r="T16" s="74">
        <f>(1-Table146[[#This Row],[DIN Rail Proportion]])*Table146[[#This Row],[Subpanel Height]]/Table146[[#This Row],[DIN Rail/ PLC Rows]]</f>
        <v>20</v>
      </c>
    </row>
    <row r="17" spans="2:20" x14ac:dyDescent="0.25">
      <c r="B17"/>
      <c r="C17"/>
      <c r="D17"/>
      <c r="F17" s="61">
        <v>5</v>
      </c>
      <c r="G17" s="24">
        <v>56</v>
      </c>
      <c r="H17" s="24">
        <f>2.25+2.25+2.25+2.25+2.25+2.25+2.25</f>
        <v>15.75</v>
      </c>
      <c r="I17" s="54">
        <f t="shared" si="0"/>
        <v>0.71875</v>
      </c>
      <c r="J17" s="22">
        <f t="shared" si="1"/>
        <v>8.0500000000000007</v>
      </c>
      <c r="K17" s="54">
        <f>ROUNDDOWN(Table146[[#This Row],[DIN Rail Columns]]/Table146[[#This Row],[Subpanel Width]], 3)</f>
        <v>8.8999999999999996E-2</v>
      </c>
      <c r="L17" s="54">
        <f t="shared" si="2"/>
        <v>0.28125</v>
      </c>
      <c r="M17" s="62">
        <f t="shared" si="3"/>
        <v>3.15</v>
      </c>
      <c r="N17" s="70">
        <v>1</v>
      </c>
      <c r="O17" s="33">
        <v>2</v>
      </c>
      <c r="P17" s="32">
        <v>60</v>
      </c>
      <c r="Q17" s="32">
        <v>46.375</v>
      </c>
      <c r="R17" s="47">
        <f>Table146[[#This Row],[Height Used for DIN Rails]]/Table146[[#This Row],[Subpanel Height]]</f>
        <v>0.7729166666666667</v>
      </c>
      <c r="S17" s="47">
        <f>1-Table146[[#This Row],[DIN Rail Proportion]]</f>
        <v>0.2270833333333333</v>
      </c>
      <c r="T17" s="73">
        <f>(1-Table146[[#This Row],[DIN Rail Proportion]])*Table146[[#This Row],[Subpanel Height]]/Table146[[#This Row],[DIN Rail/ PLC Rows]]</f>
        <v>13.624999999999998</v>
      </c>
    </row>
    <row r="18" spans="2:20" x14ac:dyDescent="0.25">
      <c r="B18"/>
      <c r="C18"/>
      <c r="D18"/>
      <c r="F18" s="61">
        <v>6</v>
      </c>
      <c r="G18" s="24">
        <v>68</v>
      </c>
      <c r="H18" s="24">
        <f>2.25+3.25+2.25+3.25+2.25+3.25+3.25+3.25+3.25+3.25+3.25+3.25</f>
        <v>36</v>
      </c>
      <c r="I18" s="54">
        <f t="shared" si="0"/>
        <v>0.47058823529411764</v>
      </c>
      <c r="J18" s="22">
        <f t="shared" si="1"/>
        <v>5.34</v>
      </c>
      <c r="K18" s="54">
        <f>ROUNDDOWN(Table146[[#This Row],[DIN Rail Columns]]/Table146[[#This Row],[Subpanel Width]], 3)</f>
        <v>8.7999999999999995E-2</v>
      </c>
      <c r="L18" s="54">
        <f t="shared" si="2"/>
        <v>0.52941176470588236</v>
      </c>
      <c r="M18" s="62">
        <f t="shared" si="3"/>
        <v>6</v>
      </c>
      <c r="N18" s="70">
        <v>1</v>
      </c>
      <c r="O18" s="33">
        <v>2</v>
      </c>
      <c r="P18" s="32">
        <v>78</v>
      </c>
      <c r="Q18" s="32">
        <v>63.25</v>
      </c>
      <c r="R18" s="47">
        <f>Table146[[#This Row],[Height Used for DIN Rails]]/Table146[[#This Row],[Subpanel Height]]</f>
        <v>0.8108974358974359</v>
      </c>
      <c r="S18" s="47">
        <f>1-Table146[[#This Row],[DIN Rail Proportion]]</f>
        <v>0.1891025641025641</v>
      </c>
      <c r="T18" s="73">
        <f>(1-Table146[[#This Row],[DIN Rail Proportion]])*Table146[[#This Row],[Subpanel Height]]/Table146[[#This Row],[DIN Rail/ PLC Rows]]</f>
        <v>14.75</v>
      </c>
    </row>
    <row r="19" spans="2:20" x14ac:dyDescent="0.25">
      <c r="B19"/>
      <c r="C19"/>
      <c r="D19"/>
      <c r="F19" s="61">
        <v>6</v>
      </c>
      <c r="G19" s="24">
        <v>70</v>
      </c>
      <c r="H19" s="24">
        <f>3+3+2+3+3+3+3+3+3+3+3+(0.25*11)</f>
        <v>34.75</v>
      </c>
      <c r="I19" s="54">
        <f t="shared" si="0"/>
        <v>0.50357142857142856</v>
      </c>
      <c r="J19" s="22">
        <f t="shared" si="1"/>
        <v>5.88</v>
      </c>
      <c r="K19" s="54">
        <f>ROUNDDOWN(Table146[[#This Row],[DIN Rail Columns]]/Table146[[#This Row],[Subpanel Width]], 3)</f>
        <v>8.5000000000000006E-2</v>
      </c>
      <c r="L19" s="54">
        <f t="shared" si="2"/>
        <v>0.49642857142857144</v>
      </c>
      <c r="M19" s="62">
        <f t="shared" si="3"/>
        <v>5.8</v>
      </c>
      <c r="N19" s="70">
        <v>1</v>
      </c>
      <c r="O19" s="33">
        <v>2</v>
      </c>
      <c r="P19" s="48">
        <v>78</v>
      </c>
      <c r="Q19" s="32">
        <v>62</v>
      </c>
      <c r="R19" s="47">
        <f>Table146[[#This Row],[Height Used for DIN Rails]]/Table146[[#This Row],[Subpanel Height]]</f>
        <v>0.79487179487179482</v>
      </c>
      <c r="S19" s="47">
        <f>1-Table146[[#This Row],[DIN Rail Proportion]]</f>
        <v>0.20512820512820518</v>
      </c>
      <c r="T19" s="73">
        <f>(1-Table146[[#This Row],[DIN Rail Proportion]])*Table146[[#This Row],[Subpanel Height]]/Table146[[#This Row],[DIN Rail/ PLC Rows]]</f>
        <v>16.000000000000004</v>
      </c>
    </row>
    <row r="20" spans="2:20" x14ac:dyDescent="0.25">
      <c r="B20"/>
      <c r="C20"/>
      <c r="D20"/>
      <c r="F20" s="61">
        <v>7</v>
      </c>
      <c r="G20" s="24">
        <v>55.625</v>
      </c>
      <c r="H20" s="24">
        <f>3+2+2+2+2+2+2+3+(0.25*8)</f>
        <v>20</v>
      </c>
      <c r="I20" s="54">
        <f t="shared" si="0"/>
        <v>0.6404494382022472</v>
      </c>
      <c r="J20" s="22">
        <f t="shared" si="1"/>
        <v>5.09</v>
      </c>
      <c r="K20" s="54">
        <f>ROUNDDOWN(Table146[[#This Row],[DIN Rail Columns]]/Table146[[#This Row],[Subpanel Width]], 3)</f>
        <v>0.125</v>
      </c>
      <c r="L20" s="54">
        <f t="shared" si="2"/>
        <v>0.3595505617977528</v>
      </c>
      <c r="M20" s="62">
        <f t="shared" si="3"/>
        <v>2.86</v>
      </c>
      <c r="N20" s="70">
        <v>1</v>
      </c>
      <c r="O20" s="33">
        <v>2</v>
      </c>
      <c r="P20" s="32">
        <v>33</v>
      </c>
      <c r="Q20" s="32">
        <v>22.375</v>
      </c>
      <c r="R20" s="47">
        <f>Table146[[#This Row],[Height Used for DIN Rails]]/Table146[[#This Row],[Subpanel Height]]</f>
        <v>0.67803030303030298</v>
      </c>
      <c r="S20" s="47">
        <f>1-Table146[[#This Row],[DIN Rail Proportion]]</f>
        <v>0.32196969696969702</v>
      </c>
      <c r="T20" s="73">
        <f>(1-Table146[[#This Row],[DIN Rail Proportion]])*Table146[[#This Row],[Subpanel Height]]/Table146[[#This Row],[DIN Rail/ PLC Rows]]</f>
        <v>10.625000000000002</v>
      </c>
    </row>
    <row r="21" spans="2:20" x14ac:dyDescent="0.25">
      <c r="B21"/>
      <c r="C21"/>
      <c r="D21"/>
      <c r="F21" s="61">
        <v>3</v>
      </c>
      <c r="G21" s="24">
        <v>33</v>
      </c>
      <c r="H21" s="24">
        <f>2.25+2.25+2.25+2.25+2.25</f>
        <v>11.25</v>
      </c>
      <c r="I21" s="54">
        <f t="shared" si="0"/>
        <v>0.65909090909090906</v>
      </c>
      <c r="J21" s="22">
        <f t="shared" si="1"/>
        <v>7.25</v>
      </c>
      <c r="K21" s="54">
        <f>ROUNDDOWN(Table146[[#This Row],[DIN Rail Columns]]/Table146[[#This Row],[Subpanel Width]], 3)</f>
        <v>0.09</v>
      </c>
      <c r="L21" s="54">
        <f t="shared" si="2"/>
        <v>0.34090909090909088</v>
      </c>
      <c r="M21" s="62">
        <f t="shared" si="3"/>
        <v>3.75</v>
      </c>
      <c r="N21" s="70">
        <v>2</v>
      </c>
      <c r="O21" s="33">
        <v>1</v>
      </c>
      <c r="P21" s="36">
        <v>69</v>
      </c>
      <c r="Q21" s="36">
        <v>35.5</v>
      </c>
      <c r="R21" s="47">
        <f>Table146[[#This Row],[Height Used for DIN Rails]]/Table146[[#This Row],[Subpanel Height]]</f>
        <v>0.51449275362318836</v>
      </c>
      <c r="S21" s="47">
        <f>1-Table146[[#This Row],[DIN Rail Proportion]]</f>
        <v>0.48550724637681164</v>
      </c>
      <c r="T21" s="73">
        <f>(1-Table146[[#This Row],[DIN Rail Proportion]])*Table146[[#This Row],[Subpanel Height]]/Table146[[#This Row],[DIN Rail/ PLC Rows]]</f>
        <v>16.75</v>
      </c>
    </row>
    <row r="22" spans="2:20" x14ac:dyDescent="0.25">
      <c r="B22"/>
      <c r="C22"/>
      <c r="D22"/>
      <c r="F22" s="61">
        <v>4</v>
      </c>
      <c r="G22" s="24">
        <v>56</v>
      </c>
      <c r="H22" s="24">
        <f>2+2+2+2+2+2+2+2+(0.25*8)</f>
        <v>18</v>
      </c>
      <c r="I22" s="54">
        <f t="shared" si="0"/>
        <v>0.6785714285714286</v>
      </c>
      <c r="J22" s="22">
        <f t="shared" si="1"/>
        <v>9.5</v>
      </c>
      <c r="K22" s="54">
        <f>ROUNDDOWN(Table146[[#This Row],[DIN Rail Columns]]/Table146[[#This Row],[Subpanel Width]], 3)</f>
        <v>7.0999999999999994E-2</v>
      </c>
      <c r="L22" s="54">
        <f t="shared" si="2"/>
        <v>0.32142857142857145</v>
      </c>
      <c r="M22" s="62">
        <f t="shared" si="3"/>
        <v>4.5</v>
      </c>
      <c r="N22" s="70">
        <v>2</v>
      </c>
      <c r="O22" s="33">
        <v>1</v>
      </c>
      <c r="P22" s="32">
        <v>68</v>
      </c>
      <c r="Q22" s="32">
        <v>39.75</v>
      </c>
      <c r="R22" s="37">
        <f>Table146[[#This Row],[Height Used for DIN Rails]]/Table146[[#This Row],[Subpanel Height]]</f>
        <v>0.5845588235294118</v>
      </c>
      <c r="S22" s="37">
        <f>1-Table146[[#This Row],[DIN Rail Proportion]]</f>
        <v>0.4154411764705882</v>
      </c>
      <c r="T22" s="74">
        <f>(1-Table146[[#This Row],[DIN Rail Proportion]])*Table146[[#This Row],[Subpanel Height]]/Table146[[#This Row],[DIN Rail/ PLC Rows]]</f>
        <v>14.124999999999998</v>
      </c>
    </row>
    <row r="23" spans="2:20" x14ac:dyDescent="0.25">
      <c r="B23"/>
      <c r="C23"/>
      <c r="D23"/>
      <c r="F23" s="61">
        <v>5</v>
      </c>
      <c r="G23" s="24">
        <v>56</v>
      </c>
      <c r="H23" s="24">
        <f>2+2+2+2+2+2+2+(0.25*7)</f>
        <v>15.75</v>
      </c>
      <c r="I23" s="54">
        <f t="shared" si="0"/>
        <v>0.71875</v>
      </c>
      <c r="J23" s="22">
        <f t="shared" si="1"/>
        <v>8.0500000000000007</v>
      </c>
      <c r="K23" s="54">
        <f>ROUNDDOWN(Table146[[#This Row],[DIN Rail Columns]]/Table146[[#This Row],[Subpanel Width]], 3)</f>
        <v>8.8999999999999996E-2</v>
      </c>
      <c r="L23" s="54">
        <f t="shared" si="2"/>
        <v>0.28125</v>
      </c>
      <c r="M23" s="62">
        <f t="shared" si="3"/>
        <v>3.15</v>
      </c>
      <c r="N23" s="70">
        <v>2</v>
      </c>
      <c r="O23" s="33">
        <v>3</v>
      </c>
      <c r="P23" s="32">
        <v>78</v>
      </c>
      <c r="Q23" s="32">
        <v>59.625</v>
      </c>
      <c r="R23" s="47">
        <f>Table146[[#This Row],[Height Used for DIN Rails]]/Table146[[#This Row],[Subpanel Height]]</f>
        <v>0.76442307692307687</v>
      </c>
      <c r="S23" s="47">
        <f>1-Table146[[#This Row],[DIN Rail Proportion]]</f>
        <v>0.23557692307692313</v>
      </c>
      <c r="T23" s="73">
        <f>(1-Table146[[#This Row],[DIN Rail Proportion]])*Table146[[#This Row],[Subpanel Height]]/Table146[[#This Row],[DIN Rail/ PLC Rows]]</f>
        <v>9.1875000000000018</v>
      </c>
    </row>
    <row r="24" spans="2:20" x14ac:dyDescent="0.25">
      <c r="B24"/>
      <c r="C24"/>
      <c r="D24"/>
      <c r="F24" s="61">
        <v>6</v>
      </c>
      <c r="G24" s="24">
        <v>56</v>
      </c>
      <c r="H24" s="24">
        <f>1.5+2+3+3+2+2+2+2+(8*0.25)</f>
        <v>19.5</v>
      </c>
      <c r="I24" s="54">
        <f t="shared" si="0"/>
        <v>0.6517857142857143</v>
      </c>
      <c r="J24" s="22">
        <f t="shared" si="1"/>
        <v>6.09</v>
      </c>
      <c r="K24" s="54">
        <f>ROUNDDOWN(Table146[[#This Row],[DIN Rail Columns]]/Table146[[#This Row],[Subpanel Width]], 3)</f>
        <v>0.107</v>
      </c>
      <c r="L24" s="54">
        <f t="shared" si="2"/>
        <v>0.3482142857142857</v>
      </c>
      <c r="M24" s="62">
        <f t="shared" si="3"/>
        <v>3.25</v>
      </c>
      <c r="N24" s="70">
        <v>2</v>
      </c>
      <c r="O24" s="33">
        <v>2</v>
      </c>
      <c r="P24" s="36">
        <v>68</v>
      </c>
      <c r="Q24" s="36">
        <v>38.25</v>
      </c>
      <c r="R24" s="47">
        <f>Table146[[#This Row],[Height Used for DIN Rails]]/Table146[[#This Row],[Subpanel Height]]</f>
        <v>0.5625</v>
      </c>
      <c r="S24" s="47">
        <f>1-Table146[[#This Row],[DIN Rail Proportion]]</f>
        <v>0.4375</v>
      </c>
      <c r="T24" s="73">
        <f>(1-Table146[[#This Row],[DIN Rail Proportion]])*Table146[[#This Row],[Subpanel Height]]/Table146[[#This Row],[DIN Rail/ PLC Rows]]</f>
        <v>14.875</v>
      </c>
    </row>
    <row r="25" spans="2:20" x14ac:dyDescent="0.25">
      <c r="B25"/>
      <c r="C25"/>
      <c r="D25"/>
      <c r="F25" s="61">
        <v>6</v>
      </c>
      <c r="G25" s="24">
        <v>68</v>
      </c>
      <c r="H25" s="24">
        <f>3+3+3+3+3+3+(0.25*6)</f>
        <v>19.5</v>
      </c>
      <c r="I25" s="54">
        <f t="shared" si="0"/>
        <v>0.71323529411764708</v>
      </c>
      <c r="J25" s="22">
        <f t="shared" si="1"/>
        <v>8.09</v>
      </c>
      <c r="K25" s="54">
        <f>ROUNDDOWN(Table146[[#This Row],[DIN Rail Columns]]/Table146[[#This Row],[Subpanel Width]], 3)</f>
        <v>8.7999999999999995E-2</v>
      </c>
      <c r="L25" s="54">
        <f t="shared" si="2"/>
        <v>0.28676470588235292</v>
      </c>
      <c r="M25" s="62">
        <f t="shared" si="3"/>
        <v>3.25</v>
      </c>
      <c r="N25" s="70">
        <v>2</v>
      </c>
      <c r="O25" s="33">
        <v>1</v>
      </c>
      <c r="P25" s="36">
        <v>75.75</v>
      </c>
      <c r="Q25" s="36">
        <v>52.5625</v>
      </c>
      <c r="R25" s="47">
        <f>Table146[[#This Row],[Height Used for DIN Rails]]/Table146[[#This Row],[Subpanel Height]]</f>
        <v>0.69389438943894388</v>
      </c>
      <c r="S25" s="47">
        <f>1-Table146[[#This Row],[DIN Rail Proportion]]</f>
        <v>0.30610561056105612</v>
      </c>
      <c r="T25" s="73">
        <f>(1-Table146[[#This Row],[DIN Rail Proportion]])*Table146[[#This Row],[Subpanel Height]]/Table146[[#This Row],[DIN Rail/ PLC Rows]]</f>
        <v>11.59375</v>
      </c>
    </row>
    <row r="26" spans="2:20" ht="15.75" thickBot="1" x14ac:dyDescent="0.3">
      <c r="B26"/>
      <c r="C26"/>
      <c r="D26"/>
      <c r="F26" s="63">
        <v>7</v>
      </c>
      <c r="G26" s="64">
        <v>68.0625</v>
      </c>
      <c r="H26" s="64">
        <f>1.5+2+3+3+3+3+3+3+2+(0.25*9)</f>
        <v>25.75</v>
      </c>
      <c r="I26" s="65">
        <f t="shared" si="0"/>
        <v>0.62167125803489443</v>
      </c>
      <c r="J26" s="66">
        <f t="shared" si="1"/>
        <v>6.05</v>
      </c>
      <c r="K26" s="65">
        <f>ROUNDDOWN(Table146[[#This Row],[DIN Rail Columns]]/Table146[[#This Row],[Subpanel Width]], 3)</f>
        <v>0.10199999999999999</v>
      </c>
      <c r="L26" s="65">
        <f t="shared" si="2"/>
        <v>0.37832874196510557</v>
      </c>
      <c r="M26" s="67">
        <f t="shared" si="3"/>
        <v>3.6799999999999997</v>
      </c>
      <c r="N26" s="76">
        <v>2</v>
      </c>
      <c r="O26" s="77">
        <v>3</v>
      </c>
      <c r="P26" s="78">
        <v>78</v>
      </c>
      <c r="Q26" s="78">
        <v>50.125</v>
      </c>
      <c r="R26" s="79">
        <f>Table146[[#This Row],[Height Used for DIN Rails]]/Table146[[#This Row],[Subpanel Height]]</f>
        <v>0.64262820512820518</v>
      </c>
      <c r="S26" s="79">
        <f>1-Table146[[#This Row],[DIN Rail Proportion]]</f>
        <v>0.35737179487179482</v>
      </c>
      <c r="T26" s="80">
        <f>(1-Table146[[#This Row],[DIN Rail Proportion]])*Table146[[#This Row],[Subpanel Height]]/Table146[[#This Row],[DIN Rail/ PLC Rows]]</f>
        <v>13.937499999999998</v>
      </c>
    </row>
    <row r="27" spans="2:20" x14ac:dyDescent="0.25">
      <c r="B27"/>
      <c r="C27"/>
      <c r="D27"/>
      <c r="I27" s="44"/>
      <c r="J27" s="45"/>
      <c r="K27" s="44"/>
      <c r="L27" s="45"/>
      <c r="M27" s="49"/>
      <c r="N27" s="49"/>
      <c r="Q27" s="9"/>
      <c r="R27" s="9"/>
      <c r="S27" s="9"/>
    </row>
    <row r="28" spans="2:20" x14ac:dyDescent="0.25">
      <c r="B28"/>
      <c r="C28"/>
      <c r="D28"/>
      <c r="I28" s="44"/>
      <c r="J28" s="45"/>
      <c r="K28" s="55"/>
      <c r="L28" s="45"/>
      <c r="M28" s="49"/>
      <c r="N28" s="49"/>
      <c r="Q28" s="9"/>
      <c r="R28" s="9"/>
      <c r="S28" s="9"/>
    </row>
    <row r="29" spans="2:20" x14ac:dyDescent="0.25">
      <c r="B29"/>
      <c r="C29"/>
      <c r="D29"/>
      <c r="I29" s="44"/>
      <c r="J29" s="45"/>
      <c r="K29" s="44"/>
      <c r="L29" s="45"/>
      <c r="M29" s="49"/>
      <c r="N29" s="49"/>
      <c r="Q29" s="9"/>
      <c r="R29" s="9"/>
      <c r="S29" s="9"/>
    </row>
    <row r="30" spans="2:20" x14ac:dyDescent="0.25">
      <c r="B30"/>
      <c r="C30"/>
      <c r="D30"/>
      <c r="I30" s="44"/>
      <c r="J30" s="45"/>
      <c r="K30" s="44"/>
      <c r="L30" s="45"/>
      <c r="M30" s="49"/>
      <c r="N30" s="49"/>
      <c r="Q30" s="9"/>
      <c r="R30" s="9"/>
      <c r="S30" s="9"/>
    </row>
    <row r="31" spans="2:20" x14ac:dyDescent="0.25">
      <c r="B31"/>
      <c r="C31"/>
      <c r="D31"/>
      <c r="I31" s="44"/>
      <c r="J31" s="45"/>
      <c r="K31" s="44"/>
      <c r="L31" s="45"/>
      <c r="M31" s="49"/>
      <c r="N31" s="49"/>
      <c r="Q31" s="9"/>
      <c r="R31" s="9"/>
      <c r="S31" s="9"/>
    </row>
    <row r="32" spans="2:20" x14ac:dyDescent="0.25">
      <c r="B32"/>
      <c r="C32"/>
      <c r="D32"/>
      <c r="M32" s="49"/>
      <c r="N32" s="49"/>
    </row>
    <row r="33" spans="2:14" x14ac:dyDescent="0.25">
      <c r="B33"/>
      <c r="C33"/>
      <c r="D33"/>
      <c r="M33" s="50"/>
      <c r="N33" s="50"/>
    </row>
    <row r="34" spans="2:14" x14ac:dyDescent="0.25">
      <c r="B34"/>
      <c r="C34"/>
      <c r="D34"/>
      <c r="M34" s="50"/>
      <c r="N34" s="50"/>
    </row>
    <row r="35" spans="2:14" x14ac:dyDescent="0.25">
      <c r="B35"/>
      <c r="C35"/>
      <c r="D35"/>
    </row>
    <row r="36" spans="2:14" x14ac:dyDescent="0.25">
      <c r="B36"/>
      <c r="C36"/>
    </row>
    <row r="37" spans="2:14" x14ac:dyDescent="0.25">
      <c r="B37"/>
      <c r="C37"/>
    </row>
    <row r="39" spans="2:14" x14ac:dyDescent="0.25">
      <c r="D39" s="20"/>
    </row>
    <row r="40" spans="2:14" x14ac:dyDescent="0.25">
      <c r="D40" s="20"/>
    </row>
    <row r="48" spans="2:14" x14ac:dyDescent="0.25">
      <c r="D48" s="20"/>
    </row>
  </sheetData>
  <mergeCells count="3">
    <mergeCell ref="B2:C2"/>
    <mergeCell ref="F2:M2"/>
    <mergeCell ref="N2:T2"/>
  </mergeCells>
  <pageMargins left="0.7" right="0.7" top="0.75" bottom="0.75" header="0.3" footer="0.3"/>
  <drawing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BASIC IO REQs</vt:lpstr>
      <vt:lpstr>DIMENSIONS</vt:lpstr>
      <vt:lpstr>PANEL DWG</vt:lpstr>
      <vt:lpstr>TYP PANEL CALCs</vt:lpstr>
      <vt:lpstr>SubpanelHeight</vt:lpstr>
      <vt:lpstr>SubpanelWidth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Lynk, Charles (Chase)</dc:creator>
  <cp:lastModifiedBy>Lynk, Charles (Chase)</cp:lastModifiedBy>
  <dcterms:created xsi:type="dcterms:W3CDTF">2024-05-07T16:46:25Z</dcterms:created>
  <dcterms:modified xsi:type="dcterms:W3CDTF">2025-02-17T23:06:52Z</dcterms:modified>
</cp:coreProperties>
</file>