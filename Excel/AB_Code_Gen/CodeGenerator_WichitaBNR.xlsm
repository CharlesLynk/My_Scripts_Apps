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ynkcn\Documents\Jobs\2395-292948 - Wichita\4 - HMI_PLC\PLC\PLC_BNR\"/>
    </mc:Choice>
  </mc:AlternateContent>
  <xr:revisionPtr revIDLastSave="0" documentId="13_ncr:1_{6721C56E-78EA-4117-A075-DEAA77E18AF9}" xr6:coauthVersionLast="47" xr6:coauthVersionMax="47" xr10:uidLastSave="{00000000-0000-0000-0000-000000000000}"/>
  <bookViews>
    <workbookView xWindow="28680" yWindow="-16320" windowWidth="29040" windowHeight="15840" xr2:uid="{2EC8FB03-6DD5-4B74-90AE-E4429DA4290D}"/>
  </bookViews>
  <sheets>
    <sheet name="Chassis" sheetId="5" r:id="rId1"/>
    <sheet name="IOMap" sheetId="4" r:id="rId2"/>
    <sheet name="Tag" sheetId="14" r:id="rId3"/>
    <sheet name="Controller" sheetId="6" r:id="rId4"/>
    <sheet name="ModStat" sheetId="1" r:id="rId5"/>
    <sheet name="ChStat" sheetId="2" r:id="rId6"/>
    <sheet name="IORaw" sheetId="3" r:id="rId7"/>
    <sheet name="AOI" sheetId="8" r:id="rId8"/>
    <sheet name="Auto" sheetId="13" r:id="rId9"/>
    <sheet name="Formula Backups" sheetId="15" r:id="rId1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85" i="4" l="1"/>
  <c r="M68" i="4"/>
  <c r="I3" i="14"/>
  <c r="I4" i="14"/>
  <c r="I5" i="14"/>
  <c r="I6" i="14"/>
  <c r="I7" i="14"/>
  <c r="I8" i="14"/>
  <c r="I9" i="14"/>
  <c r="I10" i="14"/>
  <c r="I11" i="14"/>
  <c r="I12" i="14"/>
  <c r="I13" i="14"/>
  <c r="I14" i="14"/>
  <c r="I15" i="14"/>
  <c r="I16" i="14"/>
  <c r="I17" i="14"/>
  <c r="I18" i="14"/>
  <c r="I19" i="14"/>
  <c r="I20" i="14"/>
  <c r="I21" i="14"/>
  <c r="I22" i="14"/>
  <c r="I23" i="14"/>
  <c r="I24" i="14"/>
  <c r="I25" i="14"/>
  <c r="I26" i="14"/>
  <c r="I27" i="14"/>
  <c r="I28" i="14"/>
  <c r="I29" i="14"/>
  <c r="I30" i="14"/>
  <c r="I31" i="14"/>
  <c r="I32" i="14"/>
  <c r="I33" i="14"/>
  <c r="I34" i="14"/>
  <c r="I35" i="14"/>
  <c r="I36" i="14"/>
  <c r="I37" i="14"/>
  <c r="I38" i="14"/>
  <c r="I39" i="14"/>
  <c r="I40" i="14"/>
  <c r="I41" i="14"/>
  <c r="I42" i="14"/>
  <c r="I43" i="14"/>
  <c r="I44" i="14"/>
  <c r="I45" i="14"/>
  <c r="I46" i="14"/>
  <c r="I47" i="14"/>
  <c r="I48" i="14"/>
  <c r="I49" i="14"/>
  <c r="I50" i="14"/>
  <c r="I51" i="14"/>
  <c r="I52" i="14"/>
  <c r="I53" i="14"/>
  <c r="I54" i="14"/>
  <c r="I55" i="14"/>
  <c r="I56" i="14"/>
  <c r="I57" i="14"/>
  <c r="I58" i="14"/>
  <c r="I59" i="14"/>
  <c r="I60" i="14"/>
  <c r="I61" i="14"/>
  <c r="I62" i="14"/>
  <c r="I63" i="14"/>
  <c r="I64" i="14"/>
  <c r="I65" i="14"/>
  <c r="I66" i="14"/>
  <c r="I67" i="14"/>
  <c r="I68" i="14"/>
  <c r="I69" i="14"/>
  <c r="I70" i="14"/>
  <c r="I71" i="14"/>
  <c r="I72" i="14"/>
  <c r="I73" i="14"/>
  <c r="I74" i="14"/>
  <c r="I75" i="14"/>
  <c r="I76" i="14"/>
  <c r="I77" i="14"/>
  <c r="I78" i="14"/>
  <c r="I79" i="14"/>
  <c r="I80" i="14"/>
  <c r="I81" i="14"/>
  <c r="I82" i="14"/>
  <c r="I83" i="14"/>
  <c r="I84" i="14"/>
  <c r="I85" i="14"/>
  <c r="I86" i="14"/>
  <c r="I87" i="14"/>
  <c r="I88" i="14"/>
  <c r="I89" i="14"/>
  <c r="I90" i="14"/>
  <c r="I91" i="14"/>
  <c r="I92" i="14"/>
  <c r="I93" i="14"/>
  <c r="I94" i="14"/>
  <c r="I95" i="14"/>
  <c r="I96" i="14"/>
  <c r="I97" i="14"/>
  <c r="I98" i="14"/>
  <c r="I99" i="14"/>
  <c r="I100" i="14"/>
  <c r="I101" i="14"/>
  <c r="I102" i="14"/>
  <c r="I103" i="14"/>
  <c r="I104" i="14"/>
  <c r="I105" i="14"/>
  <c r="I106" i="14"/>
  <c r="I107" i="14"/>
  <c r="I108" i="14"/>
  <c r="I109" i="14"/>
  <c r="I110" i="14"/>
  <c r="I111" i="14"/>
  <c r="I112" i="14"/>
  <c r="I113" i="14"/>
  <c r="I114" i="14"/>
  <c r="I115" i="14"/>
  <c r="I116" i="14"/>
  <c r="I117" i="14"/>
  <c r="I118" i="14"/>
  <c r="I119" i="14"/>
  <c r="I120" i="14"/>
  <c r="I121" i="14"/>
  <c r="I122" i="14"/>
  <c r="I123" i="14"/>
  <c r="I124" i="14"/>
  <c r="I125" i="14"/>
  <c r="I126" i="14"/>
  <c r="I127" i="14"/>
  <c r="I128" i="14"/>
  <c r="I129" i="14"/>
  <c r="I130" i="14"/>
  <c r="I131" i="14"/>
  <c r="I132" i="14"/>
  <c r="I133" i="14"/>
  <c r="I134" i="14"/>
  <c r="I135" i="14"/>
  <c r="I136" i="14"/>
  <c r="I137" i="14"/>
  <c r="I138" i="14"/>
  <c r="I139" i="14"/>
  <c r="I140" i="14"/>
  <c r="I141" i="14"/>
  <c r="I142" i="14"/>
  <c r="I143" i="14"/>
  <c r="I144" i="14"/>
  <c r="I145" i="14"/>
  <c r="I146" i="14"/>
  <c r="I147" i="14"/>
  <c r="I148" i="14"/>
  <c r="I149" i="14"/>
  <c r="I150" i="14"/>
  <c r="I151" i="14"/>
  <c r="I152" i="14"/>
  <c r="I153" i="14"/>
  <c r="I154" i="14"/>
  <c r="I155" i="14"/>
  <c r="I156" i="14"/>
  <c r="I157" i="14"/>
  <c r="I158" i="14"/>
  <c r="I159" i="14"/>
  <c r="I160" i="14"/>
  <c r="I161" i="14"/>
  <c r="I162" i="14"/>
  <c r="I163" i="14"/>
  <c r="I164" i="14"/>
  <c r="I165" i="14"/>
  <c r="I166" i="14"/>
  <c r="I167" i="14"/>
  <c r="I168" i="14"/>
  <c r="I169" i="14"/>
  <c r="I170" i="14"/>
  <c r="I171" i="14"/>
  <c r="I172" i="14"/>
  <c r="I173" i="14"/>
  <c r="I174" i="14"/>
  <c r="I175" i="14"/>
  <c r="I176" i="14"/>
  <c r="I177" i="14"/>
  <c r="I178" i="14"/>
  <c r="I179" i="14"/>
  <c r="I180" i="14"/>
  <c r="I181" i="14"/>
  <c r="I182" i="14"/>
  <c r="I183" i="14"/>
  <c r="I184" i="14"/>
  <c r="I185" i="14"/>
  <c r="I186" i="14"/>
  <c r="I187" i="14"/>
  <c r="I188" i="14"/>
  <c r="I189" i="14"/>
  <c r="I190" i="14"/>
  <c r="I191" i="14"/>
  <c r="I192" i="14"/>
  <c r="I193" i="14"/>
  <c r="I194" i="14"/>
  <c r="I195" i="14"/>
  <c r="I196" i="14"/>
  <c r="I197" i="14"/>
  <c r="I198" i="14"/>
  <c r="I199" i="14"/>
  <c r="I200" i="14"/>
  <c r="I201" i="14"/>
  <c r="I202" i="14"/>
  <c r="I203" i="14"/>
  <c r="I204" i="14"/>
  <c r="I205" i="14"/>
  <c r="I206" i="14"/>
  <c r="I207" i="14"/>
  <c r="I208" i="14"/>
  <c r="I209" i="14"/>
  <c r="I210" i="14"/>
  <c r="I211" i="14"/>
  <c r="I212" i="14"/>
  <c r="I213" i="14"/>
  <c r="I214" i="14"/>
  <c r="I215" i="14"/>
  <c r="I216" i="14"/>
  <c r="I217" i="14"/>
  <c r="I218" i="14"/>
  <c r="I219" i="14"/>
  <c r="I220" i="14"/>
  <c r="I221" i="14"/>
  <c r="I222" i="14"/>
  <c r="I223" i="14"/>
  <c r="I224" i="14"/>
  <c r="I225" i="14"/>
  <c r="I226" i="14"/>
  <c r="I227" i="14"/>
  <c r="I228" i="14"/>
  <c r="I229" i="14"/>
  <c r="I230" i="14"/>
  <c r="I231" i="14"/>
  <c r="I232" i="14"/>
  <c r="I233" i="14"/>
  <c r="I234" i="14"/>
  <c r="I235" i="14"/>
  <c r="I236" i="14"/>
  <c r="I237" i="14"/>
  <c r="I238" i="14"/>
  <c r="I239" i="14"/>
  <c r="I240" i="14"/>
  <c r="I241" i="14"/>
  <c r="I242" i="14"/>
  <c r="I243" i="14"/>
  <c r="I244" i="14"/>
  <c r="I245" i="14"/>
  <c r="I246" i="14"/>
  <c r="I247" i="14"/>
  <c r="I248" i="14"/>
  <c r="I249" i="14"/>
  <c r="I250" i="14"/>
  <c r="I251" i="14"/>
  <c r="I252" i="14"/>
  <c r="I253" i="14"/>
  <c r="I254" i="14"/>
  <c r="I255" i="14"/>
  <c r="I256" i="14"/>
  <c r="I257" i="14"/>
  <c r="I258" i="14"/>
  <c r="I259" i="14"/>
  <c r="I260" i="14"/>
  <c r="I261" i="14"/>
  <c r="I262" i="14"/>
  <c r="I263" i="14"/>
  <c r="I264" i="14"/>
  <c r="I265" i="14"/>
  <c r="I266" i="14"/>
  <c r="I267" i="14"/>
  <c r="I268" i="14"/>
  <c r="I269" i="14"/>
  <c r="I270" i="14"/>
  <c r="I271" i="14"/>
  <c r="I272" i="14"/>
  <c r="I273" i="14"/>
  <c r="I274" i="14"/>
  <c r="I275" i="14"/>
  <c r="I276" i="14"/>
  <c r="I277" i="14"/>
  <c r="I278" i="14"/>
  <c r="I279" i="14"/>
  <c r="I280" i="14"/>
  <c r="I281" i="14"/>
  <c r="I282" i="14"/>
  <c r="I283" i="14"/>
  <c r="I284" i="14"/>
  <c r="I285" i="14"/>
  <c r="I286" i="14"/>
  <c r="I287" i="14"/>
  <c r="I288" i="14"/>
  <c r="I289" i="14"/>
  <c r="I290" i="14"/>
  <c r="I291" i="14"/>
  <c r="I292" i="14"/>
  <c r="I293" i="14"/>
  <c r="I294" i="14"/>
  <c r="I295" i="14"/>
  <c r="I296" i="14"/>
  <c r="I297" i="14"/>
  <c r="I298" i="14"/>
  <c r="I299" i="14"/>
  <c r="I300" i="14"/>
  <c r="I301" i="14"/>
  <c r="I302" i="14"/>
  <c r="I303" i="14"/>
  <c r="I304" i="14"/>
  <c r="I305" i="14"/>
  <c r="I306" i="14"/>
  <c r="I307" i="14"/>
  <c r="I308" i="14"/>
  <c r="I309" i="14"/>
  <c r="I310" i="14"/>
  <c r="I311" i="14"/>
  <c r="I312" i="14"/>
  <c r="I313" i="14"/>
  <c r="I314" i="14"/>
  <c r="I315" i="14"/>
  <c r="I316" i="14"/>
  <c r="I317" i="14"/>
  <c r="I318" i="14"/>
  <c r="I319" i="14"/>
  <c r="I320" i="14"/>
  <c r="I321" i="14"/>
  <c r="I322" i="14"/>
  <c r="I323" i="14"/>
  <c r="I324" i="14"/>
  <c r="I325" i="14"/>
  <c r="I326" i="14"/>
  <c r="I327" i="14"/>
  <c r="I328" i="14"/>
  <c r="I329" i="14"/>
  <c r="I330" i="14"/>
  <c r="I331" i="14"/>
  <c r="I332" i="14"/>
  <c r="I333" i="14"/>
  <c r="I334" i="14"/>
  <c r="I335" i="14"/>
  <c r="I336" i="14"/>
  <c r="I337" i="14"/>
  <c r="I338" i="14"/>
  <c r="I339" i="14"/>
  <c r="I340" i="14"/>
  <c r="I341" i="14"/>
  <c r="I342" i="14"/>
  <c r="I343" i="14"/>
  <c r="I344" i="14"/>
  <c r="I345" i="14"/>
  <c r="I346" i="14"/>
  <c r="I347" i="14"/>
  <c r="I348" i="14"/>
  <c r="I349" i="14"/>
  <c r="I350" i="14"/>
  <c r="I351" i="14"/>
  <c r="I352" i="14"/>
  <c r="I353" i="14"/>
  <c r="I354" i="14"/>
  <c r="I355" i="14"/>
  <c r="I356" i="14"/>
  <c r="I357" i="14"/>
  <c r="I358" i="14"/>
  <c r="I359" i="14"/>
  <c r="I360" i="14"/>
  <c r="I361" i="14"/>
  <c r="I362" i="14"/>
  <c r="I363" i="14"/>
  <c r="I364" i="14"/>
  <c r="I365" i="14"/>
  <c r="I366" i="14"/>
  <c r="I367" i="14"/>
  <c r="I368" i="14"/>
  <c r="I369" i="14"/>
  <c r="I370" i="14"/>
  <c r="I371" i="14"/>
  <c r="I372" i="14"/>
  <c r="I373" i="14"/>
  <c r="I374" i="14"/>
  <c r="I375" i="14"/>
  <c r="I376" i="14"/>
  <c r="I377" i="14"/>
  <c r="I378" i="14"/>
  <c r="I379" i="14"/>
  <c r="I380" i="14"/>
  <c r="I381" i="14"/>
  <c r="I382" i="14"/>
  <c r="I383" i="14"/>
  <c r="I384" i="14"/>
  <c r="I385" i="14"/>
  <c r="I386" i="14"/>
  <c r="I387" i="14"/>
  <c r="I388" i="14"/>
  <c r="I389" i="14"/>
  <c r="I390" i="14"/>
  <c r="I391" i="14"/>
  <c r="I392" i="14"/>
  <c r="I393" i="14"/>
  <c r="I394" i="14"/>
  <c r="I395" i="14"/>
  <c r="I396" i="14"/>
  <c r="I397" i="14"/>
  <c r="I398" i="14"/>
  <c r="I399" i="14"/>
  <c r="I400" i="14"/>
  <c r="I401" i="14"/>
  <c r="I402" i="14"/>
  <c r="I403" i="14"/>
  <c r="I404" i="14"/>
  <c r="I405" i="14"/>
  <c r="I406" i="14"/>
  <c r="I407" i="14"/>
  <c r="I408" i="14"/>
  <c r="I409" i="14"/>
  <c r="I410" i="14"/>
  <c r="I411" i="14"/>
  <c r="I412" i="14"/>
  <c r="I413" i="14"/>
  <c r="I414" i="14"/>
  <c r="I415" i="14"/>
  <c r="I416" i="14"/>
  <c r="I417" i="14"/>
  <c r="I418" i="14"/>
  <c r="I419" i="14"/>
  <c r="I420" i="14"/>
  <c r="I421" i="14"/>
  <c r="I422" i="14"/>
  <c r="I423" i="14"/>
  <c r="I424" i="14"/>
  <c r="N424" i="14" s="1"/>
  <c r="I425" i="14"/>
  <c r="N425" i="14" s="1"/>
  <c r="I426" i="14"/>
  <c r="N426" i="14" s="1"/>
  <c r="I2" i="14"/>
  <c r="O67" i="4"/>
  <c r="M67" i="4"/>
  <c r="O66" i="4"/>
  <c r="M66" i="4"/>
  <c r="O65" i="4"/>
  <c r="M65" i="4"/>
  <c r="O64" i="4"/>
  <c r="M64" i="4"/>
  <c r="O63" i="4"/>
  <c r="M63" i="4"/>
  <c r="O62" i="4"/>
  <c r="M62" i="4"/>
  <c r="O61" i="4"/>
  <c r="M61" i="4"/>
  <c r="O60" i="4"/>
  <c r="M60" i="4"/>
  <c r="O59" i="4"/>
  <c r="M59" i="4"/>
  <c r="O58" i="4"/>
  <c r="M58" i="4"/>
  <c r="O57" i="4"/>
  <c r="M57" i="4"/>
  <c r="O56" i="4"/>
  <c r="M56" i="4"/>
  <c r="O55" i="4"/>
  <c r="M55" i="4"/>
  <c r="O54" i="4"/>
  <c r="M54" i="4"/>
  <c r="O53" i="4"/>
  <c r="M53" i="4"/>
  <c r="O52" i="4"/>
  <c r="M52" i="4"/>
  <c r="O109" i="4"/>
  <c r="M109" i="4"/>
  <c r="O108" i="4"/>
  <c r="M108" i="4"/>
  <c r="O107" i="4"/>
  <c r="M107" i="4"/>
  <c r="O106" i="4"/>
  <c r="M106" i="4"/>
  <c r="O105" i="4"/>
  <c r="M105" i="4"/>
  <c r="O104" i="4"/>
  <c r="M104" i="4"/>
  <c r="O103" i="4"/>
  <c r="M103" i="4"/>
  <c r="O102" i="4"/>
  <c r="M102" i="4"/>
  <c r="N52" i="4" l="1"/>
  <c r="N102" i="4"/>
  <c r="N169" i="14" l="1"/>
  <c r="M270" i="4"/>
  <c r="N170" i="14"/>
  <c r="N173" i="14"/>
  <c r="N176" i="14"/>
  <c r="N179" i="14"/>
  <c r="N182" i="14"/>
  <c r="N185" i="14"/>
  <c r="N188" i="14"/>
  <c r="N191" i="14"/>
  <c r="N194" i="14"/>
  <c r="N171" i="14"/>
  <c r="N174" i="14"/>
  <c r="N177" i="14"/>
  <c r="N180" i="14"/>
  <c r="N183" i="14"/>
  <c r="N186" i="14"/>
  <c r="N189" i="14"/>
  <c r="N192" i="14"/>
  <c r="N195" i="14"/>
  <c r="N8" i="14"/>
  <c r="N15" i="14"/>
  <c r="N22" i="14"/>
  <c r="N29" i="14"/>
  <c r="N36" i="14"/>
  <c r="N43" i="14"/>
  <c r="N50" i="14"/>
  <c r="N57" i="14"/>
  <c r="N64" i="14"/>
  <c r="N71" i="14"/>
  <c r="N78" i="14"/>
  <c r="N85" i="14"/>
  <c r="N92" i="14"/>
  <c r="N99" i="14"/>
  <c r="N106" i="14"/>
  <c r="N7" i="14"/>
  <c r="N14" i="14"/>
  <c r="N21" i="14"/>
  <c r="N28" i="14"/>
  <c r="N35" i="14"/>
  <c r="N42" i="14"/>
  <c r="N49" i="14"/>
  <c r="N56" i="14"/>
  <c r="N63" i="14"/>
  <c r="N70" i="14"/>
  <c r="N77" i="14"/>
  <c r="N84" i="14"/>
  <c r="N91" i="14"/>
  <c r="N98" i="14"/>
  <c r="N105" i="14"/>
  <c r="O111" i="4"/>
  <c r="O95" i="4"/>
  <c r="O94" i="4"/>
  <c r="O93" i="4"/>
  <c r="O92" i="4"/>
  <c r="O91" i="4"/>
  <c r="O90" i="4"/>
  <c r="O89" i="4"/>
  <c r="O88" i="4"/>
  <c r="O87" i="4"/>
  <c r="O86" i="4"/>
  <c r="O83" i="4"/>
  <c r="O73" i="4"/>
  <c r="O47" i="4"/>
  <c r="O37" i="4"/>
  <c r="O27" i="4"/>
  <c r="O17" i="4"/>
  <c r="O7" i="4"/>
  <c r="M442" i="4"/>
  <c r="M432" i="4"/>
  <c r="M422" i="4"/>
  <c r="M186" i="4"/>
  <c r="M178" i="4"/>
  <c r="M177" i="4"/>
  <c r="M176" i="4"/>
  <c r="M175" i="4"/>
  <c r="M174" i="4"/>
  <c r="M173" i="4"/>
  <c r="M172" i="4"/>
  <c r="M171" i="4"/>
  <c r="M170" i="4"/>
  <c r="M169" i="4"/>
  <c r="M166" i="4"/>
  <c r="M412" i="4"/>
  <c r="M402" i="4"/>
  <c r="M392" i="4"/>
  <c r="M382" i="4"/>
  <c r="M372" i="4"/>
  <c r="M362" i="4"/>
  <c r="M352" i="4"/>
  <c r="M342" i="4"/>
  <c r="M334" i="4"/>
  <c r="M333" i="4"/>
  <c r="M332" i="4"/>
  <c r="M331" i="4"/>
  <c r="M330" i="4"/>
  <c r="M329" i="4"/>
  <c r="M328" i="4"/>
  <c r="M327" i="4"/>
  <c r="M326" i="4"/>
  <c r="M325" i="4"/>
  <c r="M322" i="4"/>
  <c r="M312" i="4"/>
  <c r="M302" i="4"/>
  <c r="M292" i="4"/>
  <c r="M282" i="4"/>
  <c r="M272" i="4"/>
  <c r="M261" i="4"/>
  <c r="M251" i="4"/>
  <c r="M241" i="4"/>
  <c r="M233" i="4"/>
  <c r="M232" i="4"/>
  <c r="M231" i="4"/>
  <c r="M230" i="4"/>
  <c r="M229" i="4"/>
  <c r="M228" i="4"/>
  <c r="M227" i="4"/>
  <c r="M226" i="4"/>
  <c r="M225" i="4"/>
  <c r="M224" i="4"/>
  <c r="M221" i="4"/>
  <c r="M211" i="4"/>
  <c r="M201" i="4"/>
  <c r="M191" i="4"/>
  <c r="M151" i="4"/>
  <c r="M141" i="4"/>
  <c r="M131" i="4"/>
  <c r="M111" i="4"/>
  <c r="M95" i="4"/>
  <c r="M94" i="4"/>
  <c r="M93" i="4"/>
  <c r="M92" i="4"/>
  <c r="M91" i="4"/>
  <c r="M90" i="4"/>
  <c r="M89" i="4"/>
  <c r="M88" i="4"/>
  <c r="M87" i="4"/>
  <c r="M86" i="4"/>
  <c r="M83" i="4"/>
  <c r="M73" i="4"/>
  <c r="M47" i="4"/>
  <c r="M37" i="4"/>
  <c r="M27" i="4"/>
  <c r="M17" i="4"/>
  <c r="M7" i="4"/>
  <c r="M335" i="4"/>
  <c r="M336" i="4"/>
  <c r="M337" i="4"/>
  <c r="M338" i="4"/>
  <c r="M339" i="4"/>
  <c r="M340" i="4"/>
  <c r="M341" i="4"/>
  <c r="M343" i="4"/>
  <c r="M344" i="4"/>
  <c r="M345" i="4"/>
  <c r="M346" i="4"/>
  <c r="M347" i="4"/>
  <c r="M348" i="4"/>
  <c r="M349" i="4"/>
  <c r="M350" i="4"/>
  <c r="M351" i="4"/>
  <c r="M353" i="4"/>
  <c r="M354" i="4"/>
  <c r="M355" i="4"/>
  <c r="M356" i="4"/>
  <c r="M357" i="4"/>
  <c r="M358" i="4"/>
  <c r="M359" i="4"/>
  <c r="M360" i="4"/>
  <c r="M361" i="4"/>
  <c r="M187" i="4"/>
  <c r="M158" i="4"/>
  <c r="M159" i="4"/>
  <c r="M160" i="4"/>
  <c r="M161" i="4"/>
  <c r="M162" i="4"/>
  <c r="M163" i="4"/>
  <c r="M164" i="4"/>
  <c r="M165" i="4"/>
  <c r="M167" i="4"/>
  <c r="M168" i="4"/>
  <c r="M179" i="4"/>
  <c r="M180" i="4"/>
  <c r="M181" i="4"/>
  <c r="M182" i="4"/>
  <c r="M183" i="4"/>
  <c r="M184" i="4"/>
  <c r="M185" i="4"/>
  <c r="M396" i="4"/>
  <c r="M397" i="4"/>
  <c r="M398" i="4"/>
  <c r="M399" i="4"/>
  <c r="M400" i="4"/>
  <c r="M401" i="4"/>
  <c r="M403" i="4"/>
  <c r="M404" i="4"/>
  <c r="M405" i="4"/>
  <c r="M406" i="4"/>
  <c r="M407" i="4"/>
  <c r="M408" i="4"/>
  <c r="M409" i="4"/>
  <c r="M410" i="4"/>
  <c r="M411" i="4"/>
  <c r="M413" i="4"/>
  <c r="M262" i="4"/>
  <c r="M263" i="4"/>
  <c r="M264" i="4"/>
  <c r="M265" i="4"/>
  <c r="M266" i="4"/>
  <c r="M267" i="4"/>
  <c r="M268" i="4"/>
  <c r="M269" i="4"/>
  <c r="M371" i="4"/>
  <c r="M373" i="4"/>
  <c r="M374" i="4"/>
  <c r="M375" i="4"/>
  <c r="M376" i="4"/>
  <c r="M377" i="4"/>
  <c r="M378" i="4"/>
  <c r="M379" i="4"/>
  <c r="M380" i="4"/>
  <c r="M381" i="4"/>
  <c r="M383" i="4"/>
  <c r="M384" i="4"/>
  <c r="M385" i="4"/>
  <c r="M386" i="4"/>
  <c r="M387" i="4"/>
  <c r="M388" i="4"/>
  <c r="M389" i="4"/>
  <c r="M390" i="4"/>
  <c r="M391" i="4"/>
  <c r="M393" i="4"/>
  <c r="M394" i="4"/>
  <c r="M395" i="4"/>
  <c r="M415" i="4"/>
  <c r="N377" i="14"/>
  <c r="N380" i="14"/>
  <c r="N349" i="14"/>
  <c r="N350" i="14"/>
  <c r="N202" i="14"/>
  <c r="N206" i="14"/>
  <c r="N210" i="14"/>
  <c r="N214" i="14"/>
  <c r="N218" i="14"/>
  <c r="N222" i="14"/>
  <c r="N226" i="14"/>
  <c r="N230" i="14"/>
  <c r="N234" i="14"/>
  <c r="N238" i="14"/>
  <c r="N242" i="14"/>
  <c r="N246" i="14"/>
  <c r="N250" i="14"/>
  <c r="N254" i="14"/>
  <c r="N258" i="14"/>
  <c r="N259" i="14"/>
  <c r="N255" i="14"/>
  <c r="N251" i="14"/>
  <c r="N247" i="14"/>
  <c r="N243" i="14"/>
  <c r="N239" i="14"/>
  <c r="N235" i="14"/>
  <c r="N231" i="14"/>
  <c r="N227" i="14"/>
  <c r="N223" i="14"/>
  <c r="N219" i="14"/>
  <c r="N215" i="14"/>
  <c r="N211" i="14"/>
  <c r="N207" i="14"/>
  <c r="N203" i="14"/>
  <c r="N356" i="14"/>
  <c r="N355" i="14"/>
  <c r="N358" i="14"/>
  <c r="N361" i="14"/>
  <c r="N364" i="14"/>
  <c r="N367" i="14"/>
  <c r="N370" i="14"/>
  <c r="N373" i="14"/>
  <c r="N376" i="14"/>
  <c r="N379" i="14"/>
  <c r="N359" i="14"/>
  <c r="N362" i="14"/>
  <c r="N365" i="14"/>
  <c r="N368" i="14"/>
  <c r="N371" i="14"/>
  <c r="N374" i="14"/>
  <c r="N378" i="14"/>
  <c r="N357" i="14"/>
  <c r="N351" i="14"/>
  <c r="N381" i="14"/>
  <c r="N345" i="14"/>
  <c r="N389" i="14"/>
  <c r="N392" i="14"/>
  <c r="N360" i="14"/>
  <c r="N393" i="14"/>
  <c r="N396" i="14"/>
  <c r="N363" i="14"/>
  <c r="N352" i="14"/>
  <c r="N382" i="14"/>
  <c r="N346" i="14"/>
  <c r="N397" i="14"/>
  <c r="N400" i="14"/>
  <c r="N366" i="14"/>
  <c r="N401" i="14"/>
  <c r="N404" i="14"/>
  <c r="N369" i="14"/>
  <c r="N353" i="14"/>
  <c r="N383" i="14"/>
  <c r="N347" i="14"/>
  <c r="N405" i="14"/>
  <c r="N408" i="14"/>
  <c r="N372" i="14"/>
  <c r="N409" i="14"/>
  <c r="N412" i="14"/>
  <c r="N375" i="14"/>
  <c r="N354" i="14"/>
  <c r="N384" i="14"/>
  <c r="N348" i="14"/>
  <c r="M236" i="4"/>
  <c r="M216" i="4"/>
  <c r="M206" i="4"/>
  <c r="N418" i="14"/>
  <c r="N419" i="14"/>
  <c r="M260" i="4"/>
  <c r="M259" i="4"/>
  <c r="N338" i="14"/>
  <c r="N324" i="14"/>
  <c r="N310" i="14"/>
  <c r="N296" i="14"/>
  <c r="N209" i="14"/>
  <c r="N205" i="14"/>
  <c r="N201" i="14"/>
  <c r="N72" i="14"/>
  <c r="N65" i="14"/>
  <c r="N58" i="14"/>
  <c r="N51" i="14"/>
  <c r="N44" i="14"/>
  <c r="N37" i="14"/>
  <c r="N30" i="14"/>
  <c r="N23" i="14"/>
  <c r="N16" i="14"/>
  <c r="N9" i="14"/>
  <c r="N2" i="14"/>
  <c r="N102" i="14"/>
  <c r="N95" i="14"/>
  <c r="N88" i="14"/>
  <c r="N81" i="14"/>
  <c r="N74" i="14"/>
  <c r="N67" i="14"/>
  <c r="N60" i="14"/>
  <c r="N53" i="14"/>
  <c r="N46" i="14"/>
  <c r="N39" i="14"/>
  <c r="N32" i="14"/>
  <c r="N25" i="14"/>
  <c r="N18" i="14"/>
  <c r="N11" i="14"/>
  <c r="N4" i="14"/>
  <c r="M157" i="4"/>
  <c r="M156" i="4"/>
  <c r="M155" i="4"/>
  <c r="M154" i="4"/>
  <c r="M153" i="4"/>
  <c r="M152" i="4"/>
  <c r="M150" i="4"/>
  <c r="M149" i="4"/>
  <c r="M148" i="4"/>
  <c r="M147" i="4"/>
  <c r="M146" i="4"/>
  <c r="M145" i="4"/>
  <c r="M144" i="4"/>
  <c r="M143" i="4"/>
  <c r="M366" i="4"/>
  <c r="M365" i="4"/>
  <c r="M364" i="4"/>
  <c r="M363" i="4"/>
  <c r="M323" i="4"/>
  <c r="M321" i="4"/>
  <c r="M320" i="4"/>
  <c r="M319" i="4"/>
  <c r="M318" i="4"/>
  <c r="M316" i="4"/>
  <c r="M317" i="4"/>
  <c r="M324" i="4"/>
  <c r="M367" i="4"/>
  <c r="M368" i="4"/>
  <c r="M369" i="4"/>
  <c r="M370" i="4"/>
  <c r="N103" i="14"/>
  <c r="N96" i="14"/>
  <c r="N89" i="14"/>
  <c r="N82" i="14"/>
  <c r="N75" i="14"/>
  <c r="N68" i="14"/>
  <c r="N61" i="14"/>
  <c r="N54" i="14"/>
  <c r="N47" i="14"/>
  <c r="N40" i="14"/>
  <c r="N33" i="14"/>
  <c r="N26" i="14"/>
  <c r="N19" i="14"/>
  <c r="N12" i="14"/>
  <c r="N5" i="14"/>
  <c r="N101" i="14"/>
  <c r="N94" i="14"/>
  <c r="N87" i="14"/>
  <c r="N80" i="14"/>
  <c r="N73" i="14"/>
  <c r="N66" i="14"/>
  <c r="N59" i="14"/>
  <c r="N52" i="14"/>
  <c r="N45" i="14"/>
  <c r="N38" i="14"/>
  <c r="N31" i="14"/>
  <c r="N24" i="14"/>
  <c r="N17" i="14"/>
  <c r="N10" i="14"/>
  <c r="N3" i="14"/>
  <c r="N204" i="14"/>
  <c r="N208" i="14"/>
  <c r="N212" i="14"/>
  <c r="N216" i="14"/>
  <c r="N220" i="14"/>
  <c r="N224" i="14"/>
  <c r="N228" i="14"/>
  <c r="N232" i="14"/>
  <c r="N236" i="14"/>
  <c r="N240" i="14"/>
  <c r="N244" i="14"/>
  <c r="N248" i="14"/>
  <c r="N252" i="14"/>
  <c r="N256" i="14"/>
  <c r="N260" i="14"/>
  <c r="M438" i="4"/>
  <c r="M437" i="4"/>
  <c r="M427" i="4"/>
  <c r="M428" i="4"/>
  <c r="M429" i="4"/>
  <c r="M430" i="4"/>
  <c r="M431" i="4"/>
  <c r="M433" i="4"/>
  <c r="M434" i="4"/>
  <c r="M435" i="4"/>
  <c r="M436" i="4"/>
  <c r="M439" i="4"/>
  <c r="M440" i="4"/>
  <c r="M441" i="4"/>
  <c r="M416" i="4"/>
  <c r="M417" i="4"/>
  <c r="M418" i="4"/>
  <c r="N104" i="14"/>
  <c r="N97" i="14"/>
  <c r="N90" i="14"/>
  <c r="N83" i="14"/>
  <c r="N76" i="14"/>
  <c r="N69" i="14"/>
  <c r="N62" i="14"/>
  <c r="N55" i="14"/>
  <c r="N48" i="14"/>
  <c r="N41" i="14"/>
  <c r="N34" i="14"/>
  <c r="N27" i="14"/>
  <c r="N20" i="14"/>
  <c r="N13" i="14"/>
  <c r="N6" i="14"/>
  <c r="M250" i="4"/>
  <c r="M249" i="4"/>
  <c r="M248" i="4"/>
  <c r="M244" i="4"/>
  <c r="N79" i="14"/>
  <c r="N86" i="14"/>
  <c r="N93" i="14"/>
  <c r="N100" i="14"/>
  <c r="N213" i="14"/>
  <c r="N217" i="14"/>
  <c r="N221" i="14"/>
  <c r="N225" i="14"/>
  <c r="N229" i="14"/>
  <c r="N233" i="14"/>
  <c r="N237" i="14"/>
  <c r="N241" i="14"/>
  <c r="N245" i="14"/>
  <c r="N249" i="14"/>
  <c r="N253" i="14"/>
  <c r="N257" i="14"/>
  <c r="M245" i="4"/>
  <c r="M246" i="4"/>
  <c r="M247" i="4"/>
  <c r="M252" i="4"/>
  <c r="M253" i="4"/>
  <c r="M254" i="4"/>
  <c r="M255" i="4"/>
  <c r="M256" i="4"/>
  <c r="M257" i="4"/>
  <c r="M258" i="4"/>
  <c r="C20" i="15"/>
  <c r="C56" i="15"/>
  <c r="M5" i="4"/>
  <c r="M6" i="4"/>
  <c r="M8" i="4"/>
  <c r="M9" i="4"/>
  <c r="M10" i="4"/>
  <c r="M11" i="4"/>
  <c r="M12" i="4"/>
  <c r="M13" i="4"/>
  <c r="M14" i="4"/>
  <c r="M15" i="4"/>
  <c r="M16" i="4"/>
  <c r="M18" i="4"/>
  <c r="M19" i="4"/>
  <c r="M20" i="4"/>
  <c r="M21" i="4"/>
  <c r="M22" i="4"/>
  <c r="M23" i="4"/>
  <c r="M24" i="4"/>
  <c r="M25" i="4"/>
  <c r="M26" i="4"/>
  <c r="M28" i="4"/>
  <c r="M29" i="4"/>
  <c r="M30" i="4"/>
  <c r="M31" i="4"/>
  <c r="M32" i="4"/>
  <c r="M33" i="4"/>
  <c r="M34" i="4"/>
  <c r="M35" i="4"/>
  <c r="M36" i="4"/>
  <c r="M38" i="4"/>
  <c r="M39" i="4"/>
  <c r="M40" i="4"/>
  <c r="M41" i="4"/>
  <c r="M42" i="4"/>
  <c r="M43" i="4"/>
  <c r="M44" i="4"/>
  <c r="M45" i="4"/>
  <c r="M46" i="4"/>
  <c r="M48" i="4"/>
  <c r="M49" i="4"/>
  <c r="M50" i="4"/>
  <c r="M51" i="4"/>
  <c r="M69" i="4"/>
  <c r="M70" i="4"/>
  <c r="M71" i="4"/>
  <c r="M72" i="4"/>
  <c r="M74" i="4"/>
  <c r="M75" i="4"/>
  <c r="M76" i="4"/>
  <c r="M77" i="4"/>
  <c r="M78" i="4"/>
  <c r="M79" i="4"/>
  <c r="M80" i="4"/>
  <c r="M81" i="4"/>
  <c r="M82" i="4"/>
  <c r="M84" i="4"/>
  <c r="M96" i="4"/>
  <c r="M97" i="4"/>
  <c r="M98" i="4"/>
  <c r="M99" i="4"/>
  <c r="M100" i="4"/>
  <c r="M101" i="4"/>
  <c r="M110" i="4"/>
  <c r="M112" i="4"/>
  <c r="M113" i="4"/>
  <c r="M114" i="4"/>
  <c r="M115" i="4"/>
  <c r="M116" i="4"/>
  <c r="M117" i="4"/>
  <c r="M118" i="4"/>
  <c r="M123" i="4"/>
  <c r="M124" i="4"/>
  <c r="M125" i="4"/>
  <c r="M126" i="4"/>
  <c r="M127" i="4"/>
  <c r="M128" i="4"/>
  <c r="M129" i="4"/>
  <c r="M130" i="4"/>
  <c r="M132" i="4"/>
  <c r="M133" i="4"/>
  <c r="M134" i="4"/>
  <c r="M135" i="4"/>
  <c r="M136" i="4"/>
  <c r="M137" i="4"/>
  <c r="M138" i="4"/>
  <c r="M139" i="4"/>
  <c r="M140" i="4"/>
  <c r="M142" i="4"/>
  <c r="M190" i="4"/>
  <c r="M192" i="4"/>
  <c r="M193" i="4"/>
  <c r="M194" i="4"/>
  <c r="M195" i="4"/>
  <c r="M196" i="4"/>
  <c r="M197" i="4"/>
  <c r="M198" i="4"/>
  <c r="M199" i="4"/>
  <c r="M200" i="4"/>
  <c r="M202" i="4"/>
  <c r="M203" i="4"/>
  <c r="M204" i="4"/>
  <c r="M205" i="4"/>
  <c r="M207" i="4"/>
  <c r="M208" i="4"/>
  <c r="M209" i="4"/>
  <c r="M210" i="4"/>
  <c r="M212" i="4"/>
  <c r="M213" i="4"/>
  <c r="M214" i="4"/>
  <c r="M215" i="4"/>
  <c r="M217" i="4"/>
  <c r="M218" i="4"/>
  <c r="M219" i="4"/>
  <c r="M220" i="4"/>
  <c r="M222" i="4"/>
  <c r="M223" i="4"/>
  <c r="M234" i="4"/>
  <c r="M235" i="4"/>
  <c r="M237" i="4"/>
  <c r="M238" i="4"/>
  <c r="M239" i="4"/>
  <c r="M240" i="4"/>
  <c r="M242" i="4"/>
  <c r="M243" i="4"/>
  <c r="M273" i="4"/>
  <c r="M274" i="4"/>
  <c r="M275" i="4"/>
  <c r="M276" i="4"/>
  <c r="M277" i="4"/>
  <c r="M278" i="4"/>
  <c r="M279" i="4"/>
  <c r="M280" i="4"/>
  <c r="M281" i="4"/>
  <c r="M283" i="4"/>
  <c r="M284" i="4"/>
  <c r="M285" i="4"/>
  <c r="M286" i="4"/>
  <c r="M287" i="4"/>
  <c r="M288" i="4"/>
  <c r="M289" i="4"/>
  <c r="M290" i="4"/>
  <c r="M291" i="4"/>
  <c r="M293" i="4"/>
  <c r="M294" i="4"/>
  <c r="M295" i="4"/>
  <c r="M296" i="4"/>
  <c r="M297" i="4"/>
  <c r="M298" i="4"/>
  <c r="M299" i="4"/>
  <c r="M300" i="4"/>
  <c r="M301" i="4"/>
  <c r="M303" i="4"/>
  <c r="M304" i="4"/>
  <c r="M305" i="4"/>
  <c r="M306" i="4"/>
  <c r="M307" i="4"/>
  <c r="M308" i="4"/>
  <c r="M309" i="4"/>
  <c r="M310" i="4"/>
  <c r="M311" i="4"/>
  <c r="M313" i="4"/>
  <c r="M314" i="4"/>
  <c r="M315" i="4"/>
  <c r="M419" i="4"/>
  <c r="M420" i="4"/>
  <c r="M421" i="4"/>
  <c r="M423" i="4"/>
  <c r="M424" i="4"/>
  <c r="M425" i="4"/>
  <c r="M426" i="4"/>
  <c r="M4" i="4"/>
  <c r="C10" i="15"/>
  <c r="C18" i="15"/>
  <c r="C16" i="15"/>
  <c r="C14" i="15"/>
  <c r="C12" i="15"/>
  <c r="N154" i="14"/>
  <c r="N117" i="14"/>
  <c r="N420" i="14"/>
  <c r="N421" i="14"/>
  <c r="N422" i="14"/>
  <c r="N417" i="14"/>
  <c r="N289" i="14"/>
  <c r="N297" i="14"/>
  <c r="N303" i="14"/>
  <c r="N311" i="14"/>
  <c r="N317" i="14"/>
  <c r="N325" i="14"/>
  <c r="N331" i="14"/>
  <c r="N339" i="14"/>
  <c r="N293" i="14"/>
  <c r="N294" i="14"/>
  <c r="N292" i="14"/>
  <c r="N291" i="14"/>
  <c r="N290" i="14"/>
  <c r="N386" i="14"/>
  <c r="N387" i="14"/>
  <c r="N385" i="14"/>
  <c r="N388" i="14"/>
  <c r="N301" i="14"/>
  <c r="N302" i="14"/>
  <c r="N300" i="14"/>
  <c r="N299" i="14"/>
  <c r="N295" i="14"/>
  <c r="N298" i="14"/>
  <c r="N390" i="14"/>
  <c r="N391" i="14"/>
  <c r="N307" i="14"/>
  <c r="N308" i="14"/>
  <c r="N306" i="14"/>
  <c r="N305" i="14"/>
  <c r="N304" i="14"/>
  <c r="N394" i="14"/>
  <c r="N395" i="14"/>
  <c r="N315" i="14"/>
  <c r="N316" i="14"/>
  <c r="N314" i="14"/>
  <c r="N313" i="14"/>
  <c r="N309" i="14"/>
  <c r="N312" i="14"/>
  <c r="N398" i="14"/>
  <c r="N399" i="14"/>
  <c r="N321" i="14"/>
  <c r="N322" i="14"/>
  <c r="N320" i="14"/>
  <c r="N319" i="14"/>
  <c r="N318" i="14"/>
  <c r="N402" i="14"/>
  <c r="N403" i="14"/>
  <c r="N329" i="14"/>
  <c r="N330" i="14"/>
  <c r="N328" i="14"/>
  <c r="N327" i="14"/>
  <c r="N323" i="14"/>
  <c r="N326" i="14"/>
  <c r="N406" i="14"/>
  <c r="N407" i="14"/>
  <c r="N335" i="14"/>
  <c r="N336" i="14"/>
  <c r="N334" i="14"/>
  <c r="N333" i="14"/>
  <c r="N332" i="14"/>
  <c r="N410" i="14"/>
  <c r="N411" i="14"/>
  <c r="N343" i="14"/>
  <c r="N344" i="14"/>
  <c r="N342" i="14"/>
  <c r="N341" i="14"/>
  <c r="N337" i="14"/>
  <c r="N340" i="14"/>
  <c r="N414" i="14"/>
  <c r="N415" i="14"/>
  <c r="N413" i="14"/>
  <c r="N416" i="14"/>
  <c r="N274" i="14"/>
  <c r="N276" i="14"/>
  <c r="N278" i="14"/>
  <c r="N280" i="14"/>
  <c r="N273" i="14"/>
  <c r="N275" i="14"/>
  <c r="N277" i="14"/>
  <c r="N279" i="14"/>
  <c r="N281" i="14"/>
  <c r="N282" i="14"/>
  <c r="N283" i="14"/>
  <c r="N284" i="14"/>
  <c r="N285" i="14"/>
  <c r="N286" i="14"/>
  <c r="N287" i="14"/>
  <c r="N288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116" i="14"/>
  <c r="N115" i="14"/>
  <c r="N113" i="14"/>
  <c r="N110" i="14"/>
  <c r="N114" i="14"/>
  <c r="N109" i="14"/>
  <c r="N112" i="14"/>
  <c r="N111" i="14"/>
  <c r="N126" i="14"/>
  <c r="N127" i="14"/>
  <c r="N125" i="14"/>
  <c r="N123" i="14"/>
  <c r="N120" i="14"/>
  <c r="N124" i="14"/>
  <c r="N119" i="14"/>
  <c r="N122" i="14"/>
  <c r="N121" i="14"/>
  <c r="N136" i="14"/>
  <c r="N137" i="14"/>
  <c r="N135" i="14"/>
  <c r="N133" i="14"/>
  <c r="N130" i="14"/>
  <c r="N134" i="14"/>
  <c r="N129" i="14"/>
  <c r="N132" i="14"/>
  <c r="N131" i="14"/>
  <c r="N146" i="14"/>
  <c r="N147" i="14"/>
  <c r="N145" i="14"/>
  <c r="N143" i="14"/>
  <c r="N140" i="14"/>
  <c r="N144" i="14"/>
  <c r="N139" i="14"/>
  <c r="N142" i="14"/>
  <c r="N141" i="14"/>
  <c r="N156" i="14"/>
  <c r="N157" i="14"/>
  <c r="N155" i="14"/>
  <c r="N153" i="14"/>
  <c r="N150" i="14"/>
  <c r="N149" i="14"/>
  <c r="N152" i="14"/>
  <c r="N151" i="14"/>
  <c r="N166" i="14"/>
  <c r="N167" i="14"/>
  <c r="N165" i="14"/>
  <c r="N163" i="14"/>
  <c r="N160" i="14"/>
  <c r="N164" i="14"/>
  <c r="N159" i="14"/>
  <c r="N162" i="14"/>
  <c r="N161" i="14"/>
  <c r="N108" i="14"/>
  <c r="N118" i="14"/>
  <c r="N128" i="14"/>
  <c r="N138" i="14"/>
  <c r="N148" i="14"/>
  <c r="N158" i="14"/>
  <c r="N198" i="14"/>
  <c r="N199" i="14"/>
  <c r="N200" i="14"/>
  <c r="N172" i="14"/>
  <c r="N175" i="14"/>
  <c r="N178" i="14"/>
  <c r="N181" i="14"/>
  <c r="N184" i="14"/>
  <c r="N187" i="14"/>
  <c r="N190" i="14"/>
  <c r="N193" i="14"/>
  <c r="N196" i="14"/>
  <c r="N197" i="14"/>
  <c r="N107" i="14"/>
  <c r="N423" i="14"/>
  <c r="O5" i="4"/>
  <c r="O6" i="4"/>
  <c r="O8" i="4"/>
  <c r="O9" i="4"/>
  <c r="O10" i="4"/>
  <c r="O11" i="4"/>
  <c r="O12" i="4"/>
  <c r="O13" i="4"/>
  <c r="O14" i="4"/>
  <c r="O15" i="4"/>
  <c r="O16" i="4"/>
  <c r="O18" i="4"/>
  <c r="O19" i="4"/>
  <c r="O20" i="4"/>
  <c r="O21" i="4"/>
  <c r="O22" i="4"/>
  <c r="O23" i="4"/>
  <c r="O24" i="4"/>
  <c r="O25" i="4"/>
  <c r="O26" i="4"/>
  <c r="O28" i="4"/>
  <c r="O29" i="4"/>
  <c r="O30" i="4"/>
  <c r="O31" i="4"/>
  <c r="O33" i="4"/>
  <c r="O34" i="4"/>
  <c r="O35" i="4"/>
  <c r="O36" i="4"/>
  <c r="O38" i="4"/>
  <c r="O39" i="4"/>
  <c r="O40" i="4"/>
  <c r="O41" i="4"/>
  <c r="O42" i="4"/>
  <c r="O43" i="4"/>
  <c r="O44" i="4"/>
  <c r="O45" i="4"/>
  <c r="O46" i="4"/>
  <c r="O48" i="4"/>
  <c r="O49" i="4"/>
  <c r="O50" i="4"/>
  <c r="O51" i="4"/>
  <c r="O69" i="4"/>
  <c r="O70" i="4"/>
  <c r="O71" i="4"/>
  <c r="O72" i="4"/>
  <c r="O74" i="4"/>
  <c r="O75" i="4"/>
  <c r="O76" i="4"/>
  <c r="O77" i="4"/>
  <c r="O78" i="4"/>
  <c r="O79" i="4"/>
  <c r="O80" i="4"/>
  <c r="O81" i="4"/>
  <c r="O82" i="4"/>
  <c r="O84" i="4"/>
  <c r="O96" i="4"/>
  <c r="O97" i="4"/>
  <c r="O98" i="4"/>
  <c r="O99" i="4"/>
  <c r="O100" i="4"/>
  <c r="O101" i="4"/>
  <c r="O112" i="4"/>
  <c r="O113" i="4"/>
  <c r="O114" i="4"/>
  <c r="O115" i="4"/>
  <c r="O116" i="4"/>
  <c r="O117" i="4"/>
  <c r="O118" i="4"/>
  <c r="O4" i="4"/>
  <c r="N111" i="4" l="1"/>
  <c r="N86" i="4"/>
  <c r="N94" i="4"/>
  <c r="O32" i="4"/>
  <c r="N20" i="4" s="1"/>
  <c r="N69" i="4"/>
  <c r="N36" i="4"/>
  <c r="N4" i="4"/>
  <c r="N168" i="14" l="1"/>
</calcChain>
</file>

<file path=xl/sharedStrings.xml><?xml version="1.0" encoding="utf-8"?>
<sst xmlns="http://schemas.openxmlformats.org/spreadsheetml/2006/main" count="7939" uniqueCount="1914">
  <si>
    <t>Rack</t>
  </si>
  <si>
    <t>Slot</t>
  </si>
  <si>
    <t>Ch</t>
  </si>
  <si>
    <t>Type</t>
  </si>
  <si>
    <t>Local</t>
  </si>
  <si>
    <t>DI</t>
  </si>
  <si>
    <t>DO</t>
  </si>
  <si>
    <t>AI</t>
  </si>
  <si>
    <t>AO</t>
  </si>
  <si>
    <t>Tag</t>
  </si>
  <si>
    <t>Site:</t>
  </si>
  <si>
    <t>AOI</t>
  </si>
  <si>
    <t>DI_Map</t>
  </si>
  <si>
    <t>FB_MtrCSWC</t>
  </si>
  <si>
    <t>FB_AnaIn</t>
  </si>
  <si>
    <t>Description 1</t>
  </si>
  <si>
    <t>Description 2</t>
  </si>
  <si>
    <t>Description 3</t>
  </si>
  <si>
    <t>Running</t>
  </si>
  <si>
    <t>Start/Stop Command</t>
  </si>
  <si>
    <t>Speed Feedback</t>
  </si>
  <si>
    <t>Speed Command</t>
  </si>
  <si>
    <t>FB_MtrVFD</t>
  </si>
  <si>
    <t>ID</t>
  </si>
  <si>
    <t>R0_SysClock</t>
  </si>
  <si>
    <t>Routine</t>
  </si>
  <si>
    <t>R1_ControllerStat</t>
  </si>
  <si>
    <t>ASCII Code</t>
  </si>
  <si>
    <t>TYPE</t>
  </si>
  <si>
    <t>SCOPE</t>
  </si>
  <si>
    <t>NAME</t>
  </si>
  <si>
    <t>DESCRIPTION</t>
  </si>
  <si>
    <t>DATATYPE</t>
  </si>
  <si>
    <t>SPECIFIER</t>
  </si>
  <si>
    <t>ATTRIBUTES</t>
  </si>
  <si>
    <t>TAG</t>
  </si>
  <si>
    <t>System Clock</t>
  </si>
  <si>
    <t>Fcn_SysClock</t>
  </si>
  <si>
    <t>System Controller Status</t>
  </si>
  <si>
    <t>Fcn_ControllerStat</t>
  </si>
  <si>
    <t>System Controller Minor/Major Fault Log</t>
  </si>
  <si>
    <t>Fcn_ControllerFaultLog</t>
  </si>
  <si>
    <t>R2_ModStat</t>
  </si>
  <si>
    <t>Module Simulation On</t>
  </si>
  <si>
    <t>BOOL</t>
  </si>
  <si>
    <t>Module Simulation Silence</t>
  </si>
  <si>
    <t>Module Simulation On Alarm</t>
  </si>
  <si>
    <t>Module Simulation Timer</t>
  </si>
  <si>
    <t>TIMER</t>
  </si>
  <si>
    <t>Fcn_ModuleStat</t>
  </si>
  <si>
    <t>Local, Slot 2 Module Status</t>
  </si>
  <si>
    <t>Local, Slot 3 Module Status</t>
  </si>
  <si>
    <t>Local, Slot 5 Module Status</t>
  </si>
  <si>
    <t>Local, Slot 6 Module Status</t>
  </si>
  <si>
    <t>R3_ModStat</t>
  </si>
  <si>
    <t>DINT</t>
  </si>
  <si>
    <t>Local, Slot 2 Channel Status</t>
  </si>
  <si>
    <t>Local, Slot 3 Channel Status</t>
  </si>
  <si>
    <t>Local, Slot 5 Channel Status</t>
  </si>
  <si>
    <t>Local, Slot 6 Channel Status</t>
  </si>
  <si>
    <t>R0_DiscIn</t>
  </si>
  <si>
    <t>R0_DiscOut</t>
  </si>
  <si>
    <t>R1_AnaIn</t>
  </si>
  <si>
    <t>AI_Map</t>
  </si>
  <si>
    <t>NOP</t>
  </si>
  <si>
    <t>R1_AnaOut</t>
  </si>
  <si>
    <t>REAL</t>
  </si>
  <si>
    <t>PickYourSpot</t>
  </si>
  <si>
    <t>MainProg:Main</t>
  </si>
  <si>
    <t>System Pulses</t>
  </si>
  <si>
    <t>Fcn_Pulse10x</t>
  </si>
  <si>
    <t>System Rolling Counts</t>
  </si>
  <si>
    <t>(Constant := false, ExternalAccess := Read/Write)</t>
  </si>
  <si>
    <t>(RADIX := Decimal, Constant := false, ExternalAccess := Read/Write)</t>
  </si>
  <si>
    <t>(RADIX := Float, Constant := false, ExternalAccess := Read/Write)</t>
  </si>
  <si>
    <t>Series</t>
  </si>
  <si>
    <t>FB_VlvDisc</t>
  </si>
  <si>
    <t>Local, Slot 7 Module Status</t>
  </si>
  <si>
    <t>Local, Slot 8 Module Status</t>
  </si>
  <si>
    <t>Local, Slot 9 Module Status</t>
  </si>
  <si>
    <t>Local, Slot 7 Channel Status</t>
  </si>
  <si>
    <t>Local, Slot 8 Channel Status</t>
  </si>
  <si>
    <t>Local, Slot 9 Channel Status</t>
  </si>
  <si>
    <t>WP13_RW</t>
  </si>
  <si>
    <t>DI_R0S6</t>
  </si>
  <si>
    <t>EN2TR_R0S2</t>
  </si>
  <si>
    <t>MNET_R0S3</t>
  </si>
  <si>
    <t>DI_R0S5</t>
  </si>
  <si>
    <t>DI_R0S7</t>
  </si>
  <si>
    <t>DI_R0S8</t>
  </si>
  <si>
    <t>DI_R0S9</t>
  </si>
  <si>
    <t>DI_R0S10</t>
  </si>
  <si>
    <t>R1</t>
  </si>
  <si>
    <t>EN2TR_R1S0</t>
  </si>
  <si>
    <t>DO_R1S2</t>
  </si>
  <si>
    <t>DO_R1S3</t>
  </si>
  <si>
    <t>AI_R1S5</t>
  </si>
  <si>
    <t>AI_R1S6</t>
  </si>
  <si>
    <t>AI_R1S7</t>
  </si>
  <si>
    <t>AO_R1S10</t>
  </si>
  <si>
    <t>RWPS Channel No. 1</t>
  </si>
  <si>
    <t>Fault</t>
  </si>
  <si>
    <t>Raw Water Pump No. 1</t>
  </si>
  <si>
    <t>VFD Fault</t>
  </si>
  <si>
    <t>E-Stop</t>
  </si>
  <si>
    <t>High Temp</t>
  </si>
  <si>
    <t>RWPS Channel No. 2</t>
  </si>
  <si>
    <t>Raw Water Pump No. 2</t>
  </si>
  <si>
    <t>RWPS Channel No. 3</t>
  </si>
  <si>
    <t>Raw Water Pump No. 3</t>
  </si>
  <si>
    <t>Raw Water Pump No. 4</t>
  </si>
  <si>
    <t>Raw Water Canal</t>
  </si>
  <si>
    <t xml:space="preserve">Raw Water Pump Station </t>
  </si>
  <si>
    <t>Raw Water Pump Station</t>
  </si>
  <si>
    <t>FB_Cabinet</t>
  </si>
  <si>
    <t>FB_UPS</t>
  </si>
  <si>
    <t>Raw Water - Sample</t>
  </si>
  <si>
    <t>Temperature</t>
  </si>
  <si>
    <t>WP13_RW_SysClock</t>
  </si>
  <si>
    <t>Fcn_SysClock WP13_RW_SysClock WP13_RW_SysClock.Year WP13_RW_SysClock.Month WP13_RW_SysClock.Day WP13_RW_SysClock.Hour WP13_RW_SysClock.Month WP13_RW_SysClock.Second</t>
  </si>
  <si>
    <t>WP13_RW_SysController</t>
  </si>
  <si>
    <t>Fcn_ControllerStat WP13_RW_SysController</t>
  </si>
  <si>
    <t>WP13_RW_SysFaultLog</t>
  </si>
  <si>
    <t>Fcn_ControllerFaultLog WP13_RW_SysFaultLog</t>
  </si>
  <si>
    <t>WP13_RW_SysPulses</t>
  </si>
  <si>
    <t>Fcn_Pulse10x WP13_RW_SysPulses</t>
  </si>
  <si>
    <t>WP13_RW_SysRollingCnt</t>
  </si>
  <si>
    <t>XIC WP13_RW_SysPulses.Pulse0 ADD WP13_RW_SysRollingCnt 1 WP13_RW_SysRollingCnt GRT WP13_RW_SysRollingCnt 1000 MOV 0 WP13_RW_SysRollingCnt</t>
  </si>
  <si>
    <t>WP13_RW_ModStat_SimOn</t>
  </si>
  <si>
    <t>WP13_RW_ModStat_SimSilence</t>
  </si>
  <si>
    <t>WP13_RW_ModStat_SimOnAlm</t>
  </si>
  <si>
    <t>WP13_RW_ModStat_SimTmr</t>
  </si>
  <si>
    <t>XIC WP13_RW_ModStat_SimOn XIO WP13_RW_ModStat_SimSilence BST TON WP13_RW_ModStat_SimTmr 14400000 0 NXB XIC WP13_RW_ModStat_SimTmr.DN OTE WP13_RW_ModStat_SimOnAlm BND</t>
  </si>
  <si>
    <t>OTU WP13_RW_ModStat_SimSilence</t>
  </si>
  <si>
    <t>WP13_RW_ModStat_R0S2</t>
  </si>
  <si>
    <t>XIO WP13_RW_ModStat_R0S2.SimEn GSV Module EN2TR_R0S2 EntryStatus WP13_RW_ModStat_R0S2.EntryStatus GSV Module EN2TR_R0S2 FaultCode WP13_RW_ModStat_R0S2.FaultCode GSV Module EN2TR_R0S2 FaultInfo WP13_RW_ModStat_R0S2.FaultInfo</t>
  </si>
  <si>
    <t>Fcn_ModuleStat WP13_RW_ModStat_R0S2 WP13_RW_ModStat_SimOn</t>
  </si>
  <si>
    <t>WP13_RW_ModStat_R0S3</t>
  </si>
  <si>
    <t>XIO WP13_RW_ModStat_R0S3.SimEn GSV Module MNET_R0S3 EntryStatus WP13_RW_ModStat_R0S3.EntryStatus GSV Module MNET_R0S3 FaultCode WP13_RW_ModStat_R0S3.FaultCode GSV Module MNET_R0S3 FaultInfo WP13_RW_ModStat_R0S3.FaultInfo</t>
  </si>
  <si>
    <t>Fcn_ModuleStat WP13_RW_ModStat_R0S3 WP13_RW_ModStat_SimOn</t>
  </si>
  <si>
    <t>WP13_RW_ModStat_R0S5</t>
  </si>
  <si>
    <t>XIO WP13_RW_ModStat_R0S5.SimEn GSV Module DI_R0S5 EntryStatus WP13_RW_ModStat_R0S5.EntryStatus GSV Module DI_R0S5 FaultCode WP13_RW_ModStat_R0S5.FaultCode GSV Module DI_R0S5 FaultInfo WP13_RW_ModStat_R0S5.FaultInfo</t>
  </si>
  <si>
    <t>Fcn_ModuleStat WP13_RW_ModStat_R0S5 WP13_RW_ModStat_SimOn</t>
  </si>
  <si>
    <t>WP13_RW_ModStat_R0S6</t>
  </si>
  <si>
    <t>XIO WP13_RW_ModStat_R0S6.SimEn GSV Module DI_R0S6 EntryStatus WP13_RW_ModStat_R0S6.EntryStatus GSV Module DI_R0S6 FaultCode WP13_RW_ModStat_R0S6.FaultCode GSV Module DI_R0S6 FaultInfo WP13_RW_ModStat_R0S6.FaultInfo</t>
  </si>
  <si>
    <t>Fcn_ModuleStat WP13_RW_ModStat_R0S6 WP13_RW_ModStat_SimOn</t>
  </si>
  <si>
    <t>WP13_RW_ModStat_R0S7</t>
  </si>
  <si>
    <t>XIO WP13_RW_ModStat_R0S7.SimEn GSV Module DI_R0S7 EntryStatus WP13_RW_ModStat_R0S7.EntryStatus GSV Module DI_R0S7 FaultCode WP13_RW_ModStat_R0S7.FaultCode GSV Module DI_R0S7 FaultInfo WP13_RW_ModStat_R0S7.FaultInfo</t>
  </si>
  <si>
    <t>Fcn_ModuleStat WP13_RW_ModStat_R0S7 WP13_RW_ModStat_SimOn</t>
  </si>
  <si>
    <t>WP13_RW_ModStat_R0S8</t>
  </si>
  <si>
    <t>XIO WP13_RW_ModStat_R0S8.SimEn GSV Module DI_R0S8 EntryStatus WP13_RW_ModStat_R0S8.EntryStatus GSV Module DI_R0S8 FaultCode WP13_RW_ModStat_R0S8.FaultCode GSV Module DI_R0S8 FaultInfo WP13_RW_ModStat_R0S8.FaultInfo</t>
  </si>
  <si>
    <t>Fcn_ModuleStat WP13_RW_ModStat_R0S8 WP13_RW_ModStat_SimOn</t>
  </si>
  <si>
    <t>WP13_RW_ModStat_R0S9</t>
  </si>
  <si>
    <t>XIO WP13_RW_ModStat_R0S9.SimEn GSV Module DI_R0S9 EntryStatus WP13_RW_ModStat_R0S9.EntryStatus GSV Module DI_R0S9 FaultCode WP13_RW_ModStat_R0S9.FaultCode GSV Module DI_R0S9 FaultInfo WP13_RW_ModStat_R0S9.FaultInfo</t>
  </si>
  <si>
    <t>Fcn_ModuleStat WP13_RW_ModStat_R0S9 WP13_RW_ModStat_SimOn</t>
  </si>
  <si>
    <t>WP13_RW_ModStat_R0S10</t>
  </si>
  <si>
    <t>Local, Slot 10 Module Status</t>
  </si>
  <si>
    <t>XIO WP13_RW_ModStat_R0S10.SimEn GSV Module DI_R0S10 EntryStatus WP13_RW_ModStat_R0S10.EntryStatus GSV Module DI_R0S10 FaultCode WP13_RW_ModStat_R0S10.FaultCode GSV Module DI_R0S10 FaultInfo WP13_RW_ModStat_R0S10.FaultInfo</t>
  </si>
  <si>
    <t>Fcn_ModuleStat WP13_RW_ModStat_R0S10 WP13_RW_ModStat_SimOn</t>
  </si>
  <si>
    <t>WP13_RW_ModStat_R1S0</t>
  </si>
  <si>
    <t>R1, Slot 0 Module Status</t>
  </si>
  <si>
    <t>XIO WP13_RW_ModStat_R1S0.SimEn GSV Module EN2TR_R1S0 EntryStatus WP13_RW_ModStat_R1S0.EntryStatus GSV Module EN2TR_R1S0 FaultCode WP13_RW_ModStat_R1S0.FaultCode GSV Module EN2TR_R1S0 FaultInfo WP13_RW_ModStat_R1S0.FaultInfo</t>
  </si>
  <si>
    <t>WP13_RW_ModStat_R1S2</t>
  </si>
  <si>
    <t>R1, Slot 2 Module Status</t>
  </si>
  <si>
    <t>WP13_RW_ModStat_R1S3</t>
  </si>
  <si>
    <t>R1, Slot 3 Module Status</t>
  </si>
  <si>
    <t>WP13_RW_ModStat_R1S5</t>
  </si>
  <si>
    <t>R1, Slot 5 Module Status</t>
  </si>
  <si>
    <t>WP13_RW_ModStat_R1S6</t>
  </si>
  <si>
    <t>R1, Slot 6 Module Status</t>
  </si>
  <si>
    <t>WP13_RW_ModStat_R1S7</t>
  </si>
  <si>
    <t>R1, Slot 7 Module Status</t>
  </si>
  <si>
    <t>WP13_RW_ModStat_R1S10</t>
  </si>
  <si>
    <t>R1, Slot 10 Module Status</t>
  </si>
  <si>
    <t>WP13_RW_ChStat_R0S2</t>
  </si>
  <si>
    <t>WP13_RW_ChStat_R0S3</t>
  </si>
  <si>
    <t>WP13_RW_ChStat_R0S5</t>
  </si>
  <si>
    <t>WP13_RW_ChStat_R0S6</t>
  </si>
  <si>
    <t>WP13_RW_ChStat_R0S7</t>
  </si>
  <si>
    <t>WP13_RW_ChStat_R0S8</t>
  </si>
  <si>
    <t>WP13_RW_ChStat_R0S9</t>
  </si>
  <si>
    <t>WP13_RW_ChStat_R0S10</t>
  </si>
  <si>
    <t>Local, Slot 10 Channel Status</t>
  </si>
  <si>
    <t>WP13_RW_ChStat_R1S0</t>
  </si>
  <si>
    <t>R1, Slot 0 Channel Status</t>
  </si>
  <si>
    <t>WP13_RW_ChStat_R1S2</t>
  </si>
  <si>
    <t>R1, Slot 2 Channel Status</t>
  </si>
  <si>
    <t>WP13_RW_ChStat_R1S3</t>
  </si>
  <si>
    <t>R1, Slot 3 Channel Status</t>
  </si>
  <si>
    <t>WP13_RW_ChStat_R1S5</t>
  </si>
  <si>
    <t>R1, Slot 5 Channel Status</t>
  </si>
  <si>
    <t>WP13_RW_ChStat_R1S6</t>
  </si>
  <si>
    <t>R1, Slot 6 Channel Status</t>
  </si>
  <si>
    <t>WP13_RW_ChStat_R1S7</t>
  </si>
  <si>
    <t>R1, Slot 7 Channel Status</t>
  </si>
  <si>
    <t>WP13_RW_ChStat_R1S10</t>
  </si>
  <si>
    <t>R1, Slot 10 Channel Status</t>
  </si>
  <si>
    <t>BST XIO Local:5:I.Fault.0 NXB XIC WP13_RW_ModStat_SimOn BND OTE WP13_RW_ChStat_R0S5.0</t>
  </si>
  <si>
    <t>BST XIO Local:5:I.Fault.1 NXB XIC WP13_RW_ModStat_SimOn BND OTE WP13_RW_ChStat_R0S5.1</t>
  </si>
  <si>
    <t>BST XIO Local:5:I.Fault.2 NXB XIC WP13_RW_ModStat_SimOn BND OTE WP13_RW_ChStat_R0S5.2</t>
  </si>
  <si>
    <t>BST XIO Local:5:I.Fault.3 NXB XIC WP13_RW_ModStat_SimOn BND OTE WP13_RW_ChStat_R0S5.3</t>
  </si>
  <si>
    <t>BST XIO Local:5:I.Fault.4 NXB XIC WP13_RW_ModStat_SimOn BND OTE WP13_RW_ChStat_R0S5.4</t>
  </si>
  <si>
    <t>BST XIO Local:5:I.Fault.5 NXB XIC WP13_RW_ModStat_SimOn BND OTE WP13_RW_ChStat_R0S5.5</t>
  </si>
  <si>
    <t>BST XIO Local:5:I.Fault.6 NXB XIC WP13_RW_ModStat_SimOn BND OTE WP13_RW_ChStat_R0S5.6</t>
  </si>
  <si>
    <t>BST XIO Local:5:I.Fault.7 NXB XIC WP13_RW_ModStat_SimOn BND OTE WP13_RW_ChStat_R0S5.7</t>
  </si>
  <si>
    <t>BST XIO Local:5:I.Fault.8 NXB XIC WP13_RW_ModStat_SimOn BND OTE WP13_RW_ChStat_R0S5.8</t>
  </si>
  <si>
    <t>BST XIO Local:5:I.Fault.9 NXB XIC WP13_RW_ModStat_SimOn BND OTE WP13_RW_ChStat_R0S5.9</t>
  </si>
  <si>
    <t>BST XIO Local:5:I.Fault.10 NXB XIC WP13_RW_ModStat_SimOn BND OTE WP13_RW_ChStat_R0S5.10</t>
  </si>
  <si>
    <t>BST XIO Local:5:I.Fault.11 NXB XIC WP13_RW_ModStat_SimOn BND OTE WP13_RW_ChStat_R0S5.11</t>
  </si>
  <si>
    <t>BST XIO Local:5:I.Fault.12 NXB XIC WP13_RW_ModStat_SimOn BND OTE WP13_RW_ChStat_R0S5.12</t>
  </si>
  <si>
    <t>BST XIO Local:5:I.Fault.13 NXB XIC WP13_RW_ModStat_SimOn BND OTE WP13_RW_ChStat_R0S5.13</t>
  </si>
  <si>
    <t>BST XIO Local:5:I.Fault.14 NXB XIC WP13_RW_ModStat_SimOn BND OTE WP13_RW_ChStat_R0S5.14</t>
  </si>
  <si>
    <t>WP13_RW_SLG0002_YAF_Raw</t>
  </si>
  <si>
    <t>RWPS Channel No. 1 Sluice Gate Fault</t>
  </si>
  <si>
    <t>WP13_RW_SLG0002_YAF</t>
  </si>
  <si>
    <t>XIC Local:5:I.Data.0 OTE WP13_RW_SLG0002_YAF_Raw</t>
  </si>
  <si>
    <t>DI_Map WP13_RW_SLG0002_YAF WP13_RW_SLG0002_YAF_Raw</t>
  </si>
  <si>
    <t>WP13_RW_SLG0002_ZSO_Raw</t>
  </si>
  <si>
    <t>RWPS Channel No. 1 Sluice Gate Open Limit Switch</t>
  </si>
  <si>
    <t>WP13_RW_SLG0002_ZSO</t>
  </si>
  <si>
    <t>XIC Local:5:I.Data.1 OTE WP13_RW_SLG0002_ZSO_Raw</t>
  </si>
  <si>
    <t>DI_Map WP13_RW_SLG0002_ZSO WP13_RW_SLG0002_ZSO_Raw</t>
  </si>
  <si>
    <t>WP13_RW_SLG0002_ZSC_Raw</t>
  </si>
  <si>
    <t>RWPS Channel No. 1 Sluice Gate Closed Limit Switch</t>
  </si>
  <si>
    <t>WP13_RW_SLG0002_ZSC</t>
  </si>
  <si>
    <t>XIC Local:5:I.Data.2 OTE WP13_RW_SLG0002_ZSC_Raw</t>
  </si>
  <si>
    <t>DI_Map WP13_RW_SLG0002_ZSC WP13_RW_SLG0002_ZSC_Raw</t>
  </si>
  <si>
    <t>WP13_RW_SCR0001_YRI_Raw</t>
  </si>
  <si>
    <t>RWPS Channel No. 1 Bar Screen Running</t>
  </si>
  <si>
    <t>WP13_RW_SCR0001_YRI</t>
  </si>
  <si>
    <t>XIC Local:5:I.Data.3 OTE WP13_RW_SCR0001_YRI_Raw</t>
  </si>
  <si>
    <t>DI_Map WP13_RW_SCR0001_YRI WP13_RW_SCR0001_YRI_Raw</t>
  </si>
  <si>
    <t>WP13_RW_SCR0001_YAF_Raw</t>
  </si>
  <si>
    <t>RWPS Channel No. 1 Bar Screen Fault</t>
  </si>
  <si>
    <t>WP13_RW_SCR0001_YAF</t>
  </si>
  <si>
    <t>XIC Local:5:I.Data.4 OTE WP13_RW_SCR0001_YAF_Raw</t>
  </si>
  <si>
    <t>DI_Map WP13_RW_SCR0001_YAF WP13_RW_SCR0001_YAF_Raw</t>
  </si>
  <si>
    <t>WP13_RW_SCR0001_YLL_Raw</t>
  </si>
  <si>
    <t>RWPS Channel No. 1 Bar Screen Stopped</t>
  </si>
  <si>
    <t>WP13_RW_SCR0001_YLL</t>
  </si>
  <si>
    <t>XIC Local:5:I.Data.5 OTE WP13_RW_SCR0001_YLL_Raw</t>
  </si>
  <si>
    <t>DI_Map WP13_RW_SCR0001_YLL WP13_RW_SCR0001_YLL_Raw</t>
  </si>
  <si>
    <t>WP13_RW_LSHH0101_Raw</t>
  </si>
  <si>
    <t xml:space="preserve">RWPS Channel No. 1 High High Level </t>
  </si>
  <si>
    <t>WP13_RW_LSHH0101</t>
  </si>
  <si>
    <t>XIC Local:5:I.Data.6 OTE WP13_RW_LSHH0101_Raw</t>
  </si>
  <si>
    <t>DI_Map WP13_RW_LSHH0101 WP13_RW_LSHH0101_Raw</t>
  </si>
  <si>
    <t>WP13_RW_LSH0101_Raw</t>
  </si>
  <si>
    <t xml:space="preserve">RWPS Channel No. 1 High Level </t>
  </si>
  <si>
    <t>WP13_RW_LSH0101</t>
  </si>
  <si>
    <t>XIC Local:5:I.Data.7 OTE WP13_RW_LSH0101_Raw</t>
  </si>
  <si>
    <t>DI_Map WP13_RW_LSH0101 WP13_RW_LSH0101_Raw</t>
  </si>
  <si>
    <t>WP13_RW_LSLL0101_Raw</t>
  </si>
  <si>
    <t xml:space="preserve">RWPS Channel No. 1 Low Low Level </t>
  </si>
  <si>
    <t>WP13_RW_LSLL0101</t>
  </si>
  <si>
    <t>XIC Local:5:I.Data.8 OTE WP13_RW_LSLL0101_Raw</t>
  </si>
  <si>
    <t>DI_Map WP13_RW_LSLL0101 WP13_RW_LSLL0101_Raw</t>
  </si>
  <si>
    <t>WP13_RW_RWP0101_YRI_Raw</t>
  </si>
  <si>
    <t xml:space="preserve">Raw Water Pump No. 1 Running </t>
  </si>
  <si>
    <t>WP13_RW_RWP0101_YRI</t>
  </si>
  <si>
    <t>XIC Local:5:I.Data.9 OTE WP13_RW_RWP0101_YRI_Raw</t>
  </si>
  <si>
    <t>DI_Map WP13_RW_RWP0101_YRI WP13_RW_RWP0101_YRI_Raw</t>
  </si>
  <si>
    <t>WP13_RW_RWP0101_YCI_Raw</t>
  </si>
  <si>
    <t xml:space="preserve">Raw Water Pump No. 1 Remote </t>
  </si>
  <si>
    <t>WP13_RW_RWP0101_YCI</t>
  </si>
  <si>
    <t>XIC Local:5:I.Data.10 OTE WP13_RW_RWP0101_YCI_Raw</t>
  </si>
  <si>
    <t>DI_Map WP13_RW_RWP0101_YCI WP13_RW_RWP0101_YCI_Raw</t>
  </si>
  <si>
    <t>WP13_RW_RWP0101_YAF_Raw</t>
  </si>
  <si>
    <t xml:space="preserve">Raw Water Pump No. 1 VFD Fault </t>
  </si>
  <si>
    <t>WP13_RW_RWP0101_YAF</t>
  </si>
  <si>
    <t>XIC Local:5:I.Data.11 OTE WP13_RW_RWP0101_YAF_Raw</t>
  </si>
  <si>
    <t>DI_Map WP13_RW_RWP0101_YAF WP13_RW_RWP0101_YAF_Raw</t>
  </si>
  <si>
    <t>WP13_RW_RWP0101_YAE_Raw</t>
  </si>
  <si>
    <t xml:space="preserve">Raw Water Pump No. 1 E-Stop </t>
  </si>
  <si>
    <t>WP13_RW_RWP0101_YAE</t>
  </si>
  <si>
    <t>XIC Local:5:I.Data.12 OTE WP13_RW_RWP0101_YAE_Raw</t>
  </si>
  <si>
    <t>DI_Map WP13_RW_RWP0101_YAE WP13_RW_RWP0101_YAE_Raw</t>
  </si>
  <si>
    <t>WP13_RW_RWP0101_TAH_Raw</t>
  </si>
  <si>
    <t xml:space="preserve">Raw Water Pump No. 1 High Temp </t>
  </si>
  <si>
    <t>WP13_RW_RWP0101_TAH</t>
  </si>
  <si>
    <t>XIC Local:5:I.Data.13 OTE WP13_RW_RWP0101_TAH_Raw</t>
  </si>
  <si>
    <t>DI_Map WP13_RW_RWP0101_TAH WP13_RW_RWP0101_TAH_Raw</t>
  </si>
  <si>
    <t>WP13_RW_RWP0101_PAH_Raw</t>
  </si>
  <si>
    <t xml:space="preserve">Raw Water Pump No. 1 High Pressure </t>
  </si>
  <si>
    <t>WP13_RW_RWP0101_PAH</t>
  </si>
  <si>
    <t>XIC Local:5:I.Data.14 OTE WP13_RW_RWP0101_PAH_Raw</t>
  </si>
  <si>
    <t>DI_Map WP13_RW_RWP0101_PAH WP13_RW_RWP0101_PAH_Raw</t>
  </si>
  <si>
    <t>XIC Local:5:I.Data.15 NOP</t>
  </si>
  <si>
    <t>WP13_RW_SLG0003_YAF_Raw</t>
  </si>
  <si>
    <t>RWPS Channel No. 2 Sluice Gate Fault</t>
  </si>
  <si>
    <t>WP13_RW_SLG0003_YAF</t>
  </si>
  <si>
    <t>XIC Local:6:I.Data.0 OTE WP13_RW_SLG0003_YAF_Raw</t>
  </si>
  <si>
    <t>DI_Map WP13_RW_SLG0003_YAF WP13_RW_SLG0003_YAF_Raw</t>
  </si>
  <si>
    <t>WP13_RW_SLG0003_ZSO_Raw</t>
  </si>
  <si>
    <t>RWPS Channel No. 2 Sluice Gate Open Limit Switch</t>
  </si>
  <si>
    <t>WP13_RW_SLG0003_ZSO</t>
  </si>
  <si>
    <t>XIC Local:6:I.Data.1 OTE WP13_RW_SLG0003_ZSO_Raw</t>
  </si>
  <si>
    <t>DI_Map WP13_RW_SLG0003_ZSO WP13_RW_SLG0003_ZSO_Raw</t>
  </si>
  <si>
    <t>WP13_RW_SLG0003_ZSC_Raw</t>
  </si>
  <si>
    <t>RWPS Channel No. 2 Sluice Gate Closed Limit Switch</t>
  </si>
  <si>
    <t>WP13_RW_SLG0003_ZSC</t>
  </si>
  <si>
    <t>XIC Local:6:I.Data.2 OTE WP13_RW_SLG0003_ZSC_Raw</t>
  </si>
  <si>
    <t>DI_Map WP13_RW_SLG0003_ZSC WP13_RW_SLG0003_ZSC_Raw</t>
  </si>
  <si>
    <t>WP13_RW_SCR0002_YRI_Raw</t>
  </si>
  <si>
    <t>RWPS Channel No. 2 Bar Screen Running</t>
  </si>
  <si>
    <t>WP13_RW_SCR0002_YRI</t>
  </si>
  <si>
    <t>XIC Local:6:I.Data.3 OTE WP13_RW_SCR0002_YRI_Raw</t>
  </si>
  <si>
    <t>DI_Map WP13_RW_SCR0002_YRI WP13_RW_SCR0002_YRI_Raw</t>
  </si>
  <si>
    <t>WP13_RW_SCR0002_YAF_Raw</t>
  </si>
  <si>
    <t>RWPS Channel No. 2 Bar Screen Fault</t>
  </si>
  <si>
    <t>WP13_RW_SCR0002_YAF</t>
  </si>
  <si>
    <t>XIC Local:6:I.Data.4 OTE WP13_RW_SCR0002_YAF_Raw</t>
  </si>
  <si>
    <t>DI_Map WP13_RW_SCR0002_YAF WP13_RW_SCR0002_YAF_Raw</t>
  </si>
  <si>
    <t>WP13_RW_SCR0002_YLL_Raw</t>
  </si>
  <si>
    <t>RWPS Channel No. 2 Bar Screen Stopped</t>
  </si>
  <si>
    <t>WP13_RW_SCR0002_YLL</t>
  </si>
  <si>
    <t>XIC Local:6:I.Data.5 OTE WP13_RW_SCR0002_YLL_Raw</t>
  </si>
  <si>
    <t>DI_Map WP13_RW_SCR0002_YLL WP13_RW_SCR0002_YLL_Raw</t>
  </si>
  <si>
    <t>WP13_RW_LSHH0102_Raw</t>
  </si>
  <si>
    <t xml:space="preserve">RWPS Channel No. 2 High High Level </t>
  </si>
  <si>
    <t>WP13_RW_LSHH0102</t>
  </si>
  <si>
    <t>XIC Local:6:I.Data.6 OTE WP13_RW_LSHH0102_Raw</t>
  </si>
  <si>
    <t>DI_Map WP13_RW_LSHH0102 WP13_RW_LSHH0102_Raw</t>
  </si>
  <si>
    <t>WP13_RW_LSH0102_Raw</t>
  </si>
  <si>
    <t xml:space="preserve">RWPS Channel No. 2 High Level </t>
  </si>
  <si>
    <t>WP13_RW_LSH0102</t>
  </si>
  <si>
    <t>XIC Local:6:I.Data.7 OTE WP13_RW_LSH0102_Raw</t>
  </si>
  <si>
    <t>DI_Map WP13_RW_LSH0102 WP13_RW_LSH0102_Raw</t>
  </si>
  <si>
    <t>WP13_RW_LSLL0102_Raw</t>
  </si>
  <si>
    <t xml:space="preserve">RWPS Channel No. 2 Low Low Level </t>
  </si>
  <si>
    <t>WP13_RW_LSLL0102</t>
  </si>
  <si>
    <t>XIC Local:6:I.Data.8 OTE WP13_RW_LSLL0102_Raw</t>
  </si>
  <si>
    <t>DI_Map WP13_RW_LSLL0102 WP13_RW_LSLL0102_Raw</t>
  </si>
  <si>
    <t>WP13_RW_RWP0102_YRI_Raw</t>
  </si>
  <si>
    <t xml:space="preserve">Raw Water Pump No. 2 Running </t>
  </si>
  <si>
    <t>WP13_RW_RWP0102_YRI</t>
  </si>
  <si>
    <t>XIC Local:6:I.Data.9 OTE WP13_RW_RWP0102_YRI_Raw</t>
  </si>
  <si>
    <t>DI_Map WP13_RW_RWP0102_YRI WP13_RW_RWP0102_YRI_Raw</t>
  </si>
  <si>
    <t>WP13_RW_RWP0102_YCI_Raw</t>
  </si>
  <si>
    <t xml:space="preserve">Raw Water Pump No. 2 Remote </t>
  </si>
  <si>
    <t>WP13_RW_RWP0102_YCI</t>
  </si>
  <si>
    <t>XIC Local:6:I.Data.10 OTE WP13_RW_RWP0102_YCI_Raw</t>
  </si>
  <si>
    <t>DI_Map WP13_RW_RWP0102_YCI WP13_RW_RWP0102_YCI_Raw</t>
  </si>
  <si>
    <t>WP13_RW_RWP0102_YAF_Raw</t>
  </si>
  <si>
    <t xml:space="preserve">Raw Water Pump No. 2 VFD Fault </t>
  </si>
  <si>
    <t>WP13_RW_RWP0102_YAF</t>
  </si>
  <si>
    <t>XIC Local:6:I.Data.11 OTE WP13_RW_RWP0102_YAF_Raw</t>
  </si>
  <si>
    <t>DI_Map WP13_RW_RWP0102_YAF WP13_RW_RWP0102_YAF_Raw</t>
  </si>
  <si>
    <t>WP13_RW_RWP0102_YAE_Raw</t>
  </si>
  <si>
    <t xml:space="preserve">Raw Water Pump No. 2 E-Stop </t>
  </si>
  <si>
    <t>WP13_RW_RWP0102_YAE</t>
  </si>
  <si>
    <t>XIC Local:6:I.Data.12 OTE WP13_RW_RWP0102_YAE_Raw</t>
  </si>
  <si>
    <t>DI_Map WP13_RW_RWP0102_YAE WP13_RW_RWP0102_YAE_Raw</t>
  </si>
  <si>
    <t>WP13_RW_RWP0102_TAH_Raw</t>
  </si>
  <si>
    <t xml:space="preserve">Raw Water Pump No. 2 High Temp </t>
  </si>
  <si>
    <t>WP13_RW_RWP0102_TAH</t>
  </si>
  <si>
    <t>XIC Local:6:I.Data.13 OTE WP13_RW_RWP0102_TAH_Raw</t>
  </si>
  <si>
    <t>DI_Map WP13_RW_RWP0102_TAH WP13_RW_RWP0102_TAH_Raw</t>
  </si>
  <si>
    <t>WP13_RW_RWP0102_PAH_Raw</t>
  </si>
  <si>
    <t xml:space="preserve">Raw Water Pump No. 2 High Pressure </t>
  </si>
  <si>
    <t>WP13_RW_RWP0102_PAH</t>
  </si>
  <si>
    <t>XIC Local:6:I.Data.14 OTE WP13_RW_RWP0102_PAH_Raw</t>
  </si>
  <si>
    <t>DI_Map WP13_RW_RWP0102_PAH WP13_RW_RWP0102_PAH_Raw</t>
  </si>
  <si>
    <t>XIC Local:6:I.Data.15 NOP</t>
  </si>
  <si>
    <t>WP13_RW_SLG0004_YAF_Raw</t>
  </si>
  <si>
    <t>RWPS Channel No. 3 Sluice Gate Fault</t>
  </si>
  <si>
    <t>WP13_RW_SLG0004_YAF</t>
  </si>
  <si>
    <t>XIC Local:7:I.Data.0 OTE WP13_RW_SLG0004_YAF_Raw</t>
  </si>
  <si>
    <t>DI_Map WP13_RW_SLG0004_YAF WP13_RW_SLG0004_YAF_Raw</t>
  </si>
  <si>
    <t>WP13_RW_SLG0004_ZSO_Raw</t>
  </si>
  <si>
    <t>RWPS Channel No. 3 Sluice Gate Open Limit Switch</t>
  </si>
  <si>
    <t>WP13_RW_SLG0004_ZSO</t>
  </si>
  <si>
    <t>XIC Local:7:I.Data.1 OTE WP13_RW_SLG0004_ZSO_Raw</t>
  </si>
  <si>
    <t>DI_Map WP13_RW_SLG0004_ZSO WP13_RW_SLG0004_ZSO_Raw</t>
  </si>
  <si>
    <t>WP13_RW_SLG0004_ZSC_Raw</t>
  </si>
  <si>
    <t>RWPS Channel No. 3 Sluice Gate Closed Limit Switch</t>
  </si>
  <si>
    <t>WP13_RW_SLG0004_ZSC</t>
  </si>
  <si>
    <t>XIC Local:7:I.Data.2 OTE WP13_RW_SLG0004_ZSC_Raw</t>
  </si>
  <si>
    <t>DI_Map WP13_RW_SLG0004_ZSC WP13_RW_SLG0004_ZSC_Raw</t>
  </si>
  <si>
    <t>WP13_RW_SCR0003_YRI_Raw</t>
  </si>
  <si>
    <t>RWPS Channel No. 3 Bar Screen Running</t>
  </si>
  <si>
    <t>WP13_RW_SCR0003_YRI</t>
  </si>
  <si>
    <t>XIC Local:7:I.Data.3 OTE WP13_RW_SCR0003_YRI_Raw</t>
  </si>
  <si>
    <t>DI_Map WP13_RW_SCR0003_YRI WP13_RW_SCR0003_YRI_Raw</t>
  </si>
  <si>
    <t>WP13_RW_SCR0003_YAF_Raw</t>
  </si>
  <si>
    <t>RWPS Channel No. 3 Bar Screen Fault</t>
  </si>
  <si>
    <t>WP13_RW_SCR0003_YAF</t>
  </si>
  <si>
    <t>XIC Local:7:I.Data.4 OTE WP13_RW_SCR0003_YAF_Raw</t>
  </si>
  <si>
    <t>DI_Map WP13_RW_SCR0003_YAF WP13_RW_SCR0003_YAF_Raw</t>
  </si>
  <si>
    <t>WP13_RW_SCR0003_YLL_Raw</t>
  </si>
  <si>
    <t>RWPS Channel No. 3 Bar Screen Stopped</t>
  </si>
  <si>
    <t>WP13_RW_SCR0003_YLL</t>
  </si>
  <si>
    <t>XIC Local:7:I.Data.5 OTE WP13_RW_SCR0003_YLL_Raw</t>
  </si>
  <si>
    <t>DI_Map WP13_RW_SCR0003_YLL WP13_RW_SCR0003_YLL_Raw</t>
  </si>
  <si>
    <t>WP13_RW_LSHH0103_Raw</t>
  </si>
  <si>
    <t xml:space="preserve">RWPS Channel No. 3 High High Level </t>
  </si>
  <si>
    <t>WP13_RW_LSHH0103</t>
  </si>
  <si>
    <t>XIC Local:7:I.Data.6 OTE WP13_RW_LSHH0103_Raw</t>
  </si>
  <si>
    <t>DI_Map WP13_RW_LSHH0103 WP13_RW_LSHH0103_Raw</t>
  </si>
  <si>
    <t>WP13_RW_LSH0103_Raw</t>
  </si>
  <si>
    <t xml:space="preserve">RWPS Channel No. 3 High Level </t>
  </si>
  <si>
    <t>WP13_RW_LSH0103</t>
  </si>
  <si>
    <t>XIC Local:7:I.Data.7 OTE WP13_RW_LSH0103_Raw</t>
  </si>
  <si>
    <t>DI_Map WP13_RW_LSH0103 WP13_RW_LSH0103_Raw</t>
  </si>
  <si>
    <t>WP13_RW_LSLL0103_Raw</t>
  </si>
  <si>
    <t xml:space="preserve">RWPS Channel No. 3 Low Low Level </t>
  </si>
  <si>
    <t>WP13_RW_LSLL0103</t>
  </si>
  <si>
    <t>XIC Local:7:I.Data.8 OTE WP13_RW_LSLL0103_Raw</t>
  </si>
  <si>
    <t>DI_Map WP13_RW_LSLL0103 WP13_RW_LSLL0103_Raw</t>
  </si>
  <si>
    <t>WP13_RW_RWP0103_YRI_Raw</t>
  </si>
  <si>
    <t xml:space="preserve">Raw Water Pump No. 3 Running </t>
  </si>
  <si>
    <t>WP13_RW_RWP0103_YRI</t>
  </si>
  <si>
    <t>XIC Local:7:I.Data.9 OTE WP13_RW_RWP0103_YRI_Raw</t>
  </si>
  <si>
    <t>DI_Map WP13_RW_RWP0103_YRI WP13_RW_RWP0103_YRI_Raw</t>
  </si>
  <si>
    <t>WP13_RW_RWP0103_YCI_Raw</t>
  </si>
  <si>
    <t xml:space="preserve">Raw Water Pump No. 3 Remote </t>
  </si>
  <si>
    <t>WP13_RW_RWP0103_YCI</t>
  </si>
  <si>
    <t>XIC Local:7:I.Data.10 OTE WP13_RW_RWP0103_YCI_Raw</t>
  </si>
  <si>
    <t>DI_Map WP13_RW_RWP0103_YCI WP13_RW_RWP0103_YCI_Raw</t>
  </si>
  <si>
    <t>WP13_RW_RWP0103_YAF_Raw</t>
  </si>
  <si>
    <t xml:space="preserve">Raw Water Pump No. 3 VFD Fault </t>
  </si>
  <si>
    <t>WP13_RW_RWP0103_YAF</t>
  </si>
  <si>
    <t>XIC Local:7:I.Data.11 OTE WP13_RW_RWP0103_YAF_Raw</t>
  </si>
  <si>
    <t>DI_Map WP13_RW_RWP0103_YAF WP13_RW_RWP0103_YAF_Raw</t>
  </si>
  <si>
    <t>WP13_RW_RWP0103_YAE_Raw</t>
  </si>
  <si>
    <t xml:space="preserve">Raw Water Pump No. 3 E-Stop </t>
  </si>
  <si>
    <t>WP13_RW_RWP0103_YAE</t>
  </si>
  <si>
    <t>XIC Local:7:I.Data.12 OTE WP13_RW_RWP0103_YAE_Raw</t>
  </si>
  <si>
    <t>DI_Map WP13_RW_RWP0103_YAE WP13_RW_RWP0103_YAE_Raw</t>
  </si>
  <si>
    <t>WP13_RW_RWP0103_TAH_Raw</t>
  </si>
  <si>
    <t xml:space="preserve">Raw Water Pump No. 3 High Temp </t>
  </si>
  <si>
    <t>WP13_RW_RWP0103_TAH</t>
  </si>
  <si>
    <t>XIC Local:7:I.Data.13 OTE WP13_RW_RWP0103_TAH_Raw</t>
  </si>
  <si>
    <t>DI_Map WP13_RW_RWP0103_TAH WP13_RW_RWP0103_TAH_Raw</t>
  </si>
  <si>
    <t>WP13_RW_RWP0103_PAH_Raw</t>
  </si>
  <si>
    <t xml:space="preserve">Raw Water Pump No. 3 High Pressure </t>
  </si>
  <si>
    <t>WP13_RW_RWP0103_PAH</t>
  </si>
  <si>
    <t>XIC Local:7:I.Data.14 OTE WP13_RW_RWP0103_PAH_Raw</t>
  </si>
  <si>
    <t>DI_Map WP13_RW_RWP0103_PAH WP13_RW_RWP0103_PAH_Raw</t>
  </si>
  <si>
    <t>XIC Local:7:I.Data.15 NOP</t>
  </si>
  <si>
    <t>XIC Local:8:I.Data.0 NOP</t>
  </si>
  <si>
    <t>XIC Local:8:I.Data.1 NOP</t>
  </si>
  <si>
    <t>XIC Local:8:I.Data.2 NOP</t>
  </si>
  <si>
    <t>XIC Local:8:I.Data.3 NOP</t>
  </si>
  <si>
    <t>XIC Local:8:I.Data.4 NOP</t>
  </si>
  <si>
    <t>XIC Local:8:I.Data.5 NOP</t>
  </si>
  <si>
    <t>XIC Local:8:I.Data.6 NOP</t>
  </si>
  <si>
    <t>XIC Local:8:I.Data.7 NOP</t>
  </si>
  <si>
    <t>XIC Local:8:I.Data.8 NOP</t>
  </si>
  <si>
    <t>XIC Local:8:I.Data.9 NOP</t>
  </si>
  <si>
    <t>XIC Local:8:I.Data.10 NOP</t>
  </si>
  <si>
    <t>XIC Local:8:I.Data.11 NOP</t>
  </si>
  <si>
    <t>XIC Local:8:I.Data.12 NOP</t>
  </si>
  <si>
    <t>XIC Local:8:I.Data.13 NOP</t>
  </si>
  <si>
    <t>XIC Local:8:I.Data.14 NOP</t>
  </si>
  <si>
    <t>XIC Local:8:I.Data.15 NOP</t>
  </si>
  <si>
    <t>WP13_RW_LSL0002_Raw</t>
  </si>
  <si>
    <t xml:space="preserve">Raw Water Canal Low Level </t>
  </si>
  <si>
    <t>WP13_RW_LSL0002</t>
  </si>
  <si>
    <t>XIC Local:9:I.Data.0 OTE WP13_RW_LSL0002_Raw</t>
  </si>
  <si>
    <t>DI_Map WP13_RW_LSL0002 WP13_RW_LSL0002_Raw</t>
  </si>
  <si>
    <t>WP13_RW_GEN4_YRI_Raw</t>
  </si>
  <si>
    <t>Raw Water Pump Station  Generator (Gen-4) Running</t>
  </si>
  <si>
    <t>WP13_RW_GEN4_YRI</t>
  </si>
  <si>
    <t>XIC Local:9:I.Data.1 OTE WP13_RW_GEN4_YRI_Raw</t>
  </si>
  <si>
    <t>DI_Map WP13_RW_GEN4_YRI WP13_RW_GEN4_YRI_Raw</t>
  </si>
  <si>
    <t>WP13_RW_GEN4_YA_Raw</t>
  </si>
  <si>
    <t>Raw Water Pump Station  Generator (Gen-4) Alarm</t>
  </si>
  <si>
    <t>WP13_RW_GEN4_YA</t>
  </si>
  <si>
    <t>XIC Local:9:I.Data.2 OTE WP13_RW_GEN4_YA_Raw</t>
  </si>
  <si>
    <t>DI_Map WP13_RW_GEN4_YA WP13_RW_GEN4_YA_Raw</t>
  </si>
  <si>
    <t>WP13_RW_GEN4_YAF_Raw</t>
  </si>
  <si>
    <t>Raw Water Pump Station  Generator (Gen-4) Fault</t>
  </si>
  <si>
    <t>WP13_RW_GEN4_YAF</t>
  </si>
  <si>
    <t>XIC Local:9:I.Data.3 OTE WP13_RW_GEN4_YAF_Raw</t>
  </si>
  <si>
    <t>DI_Map WP13_RW_GEN4_YAF WP13_RW_GEN4_YAF_Raw</t>
  </si>
  <si>
    <t>XIC Local:9:I.Data.4 NOP</t>
  </si>
  <si>
    <t>XIC Local:9:I.Data.5 NOP</t>
  </si>
  <si>
    <t>XIC Local:9:I.Data.6 NOP</t>
  </si>
  <si>
    <t>XIC Local:9:I.Data.7 NOP</t>
  </si>
  <si>
    <t>XIC Local:9:I.Data.8 NOP</t>
  </si>
  <si>
    <t>XIC Local:9:I.Data.9 NOP</t>
  </si>
  <si>
    <t>XIC Local:9:I.Data.10 NOP</t>
  </si>
  <si>
    <t>XIC Local:9:I.Data.11 NOP</t>
  </si>
  <si>
    <t>XIC Local:9:I.Data.12 NOP</t>
  </si>
  <si>
    <t>XIC Local:9:I.Data.13 NOP</t>
  </si>
  <si>
    <t>XIC Local:9:I.Data.14 NOP</t>
  </si>
  <si>
    <t>XIC Local:9:I.Data.15 NOP</t>
  </si>
  <si>
    <t>WP13_RW_SCADARW_120V_Raw</t>
  </si>
  <si>
    <t>Raw Water Pump Station SCADA Cabinet 120VAC Detected</t>
  </si>
  <si>
    <t>WP13_RW_SCADARW_120V</t>
  </si>
  <si>
    <t>XIC Local:10:I.Data.0 OTE WP13_RW_SCADARW_120V_Raw</t>
  </si>
  <si>
    <t>DI_Map WP13_RW_SCADARW_120V WP13_RW_SCADARW_120V_Raw</t>
  </si>
  <si>
    <t>WP13_RW_UPSRW_MSB_Raw</t>
  </si>
  <si>
    <t>Raw Water Pump Station Network Rack UPS Maintenance Bypass</t>
  </si>
  <si>
    <t>WP13_RW_UPSRW_MSB</t>
  </si>
  <si>
    <t>XIC Local:10:I.Data.1 OTE WP13_RW_UPSRW_MSB_Raw</t>
  </si>
  <si>
    <t>DI_Map WP13_RW_UPSRW_MSB WP13_RW_UPSRW_MSB_Raw</t>
  </si>
  <si>
    <t>WP13_RW_UPSRW_JAL_Raw</t>
  </si>
  <si>
    <t>Raw Water Pump Station Network Rack UPS Low Battery</t>
  </si>
  <si>
    <t>WP13_RW_UPSRW_JAL</t>
  </si>
  <si>
    <t>XIC Local:10:I.Data.2 OTE WP13_RW_UPSRW_JAL_Raw</t>
  </si>
  <si>
    <t>DI_Map WP13_RW_UPSRW_JAL WP13_RW_UPSRW_JAL_Raw</t>
  </si>
  <si>
    <t>WP13_RW_UPSRW_YRI_Raw</t>
  </si>
  <si>
    <t>Raw Water Pump Station Network Rack UPS On Battery</t>
  </si>
  <si>
    <t>WP13_RW_UPSRW_YRI</t>
  </si>
  <si>
    <t>XIC Local:10:I.Data.3 OTE WP13_RW_UPSRW_YRI_Raw</t>
  </si>
  <si>
    <t>DI_Map WP13_RW_UPSRW_YRI WP13_RW_UPSRW_YRI_Raw</t>
  </si>
  <si>
    <t>WP13_RW_UPSRW_YAF_Raw</t>
  </si>
  <si>
    <t>Raw Water Pump Station Network Rack UPS Fault</t>
  </si>
  <si>
    <t>WP13_RW_UPSRW_YAF</t>
  </si>
  <si>
    <t>XIC Local:10:I.Data.4 OTE WP13_RW_UPSRW_YAF_Raw</t>
  </si>
  <si>
    <t>DI_Map WP13_RW_UPSRW_YAF WP13_RW_UPSRW_YAF_Raw</t>
  </si>
  <si>
    <t>WP13_RW_SCADARW_PS1_Raw</t>
  </si>
  <si>
    <t>Raw Water Pump Station SCADA Cabinet 24VDC PS No. 1 OK</t>
  </si>
  <si>
    <t>WP13_RW_SCADARW_PS1</t>
  </si>
  <si>
    <t>XIC Local:10:I.Data.5 OTE WP13_RW_SCADARW_PS1_Raw</t>
  </si>
  <si>
    <t>DI_Map WP13_RW_SCADARW_PS1 WP13_RW_SCADARW_PS1_Raw</t>
  </si>
  <si>
    <t>WP13_RW_SCADARW_PS2_Raw</t>
  </si>
  <si>
    <t>Raw Water Pump Station SCADA Cabinet 24VDC PS No. 2 OK</t>
  </si>
  <si>
    <t>WP13_RW_SCADARW_PS2</t>
  </si>
  <si>
    <t>WP13_RW_SCADARW_24V_Raw</t>
  </si>
  <si>
    <t>Raw Water Pump Station SCADA Cabinet 24VDC Detected</t>
  </si>
  <si>
    <t>WP13_RW_SCADARW_24V</t>
  </si>
  <si>
    <t>WP13_RW_SLG0002_ZCO_Raw</t>
  </si>
  <si>
    <t>RWPS Channel No. 1 Sluice Gate Open Command</t>
  </si>
  <si>
    <t>WP13_RW_SLG0002_ZCC_Raw</t>
  </si>
  <si>
    <t>RWPS Channel No. 1 Sluice Gate Close Command</t>
  </si>
  <si>
    <t>WP13_RW_SLG0003_ZCO_Raw</t>
  </si>
  <si>
    <t>RWPS Channel No. 2 Sluice Gate Open Command</t>
  </si>
  <si>
    <t>WP13_RW_SLG0003_ZCC_Raw</t>
  </si>
  <si>
    <t>RWPS Channel No. 2 Sluice Gate Close Command</t>
  </si>
  <si>
    <t>WP13_RW_RWP0101_HSS_Raw</t>
  </si>
  <si>
    <t xml:space="preserve">Raw Water Pump No. 1 Start/Stop Command </t>
  </si>
  <si>
    <t>WP13_RW_RWP0102_HSS_Raw</t>
  </si>
  <si>
    <t xml:space="preserve">Raw Water Pump No. 2 Start/Stop Command </t>
  </si>
  <si>
    <t>WP13_RW_SCADARW_FN_ROO_Raw</t>
  </si>
  <si>
    <t>Raw Water Pump Station SCADA Cabinet Fan Remote On/Off</t>
  </si>
  <si>
    <t>WP13_RW_UPSRW_ROO_Raw</t>
  </si>
  <si>
    <t>Raw Water Pump Station Network Rack UPS Remote On/Off</t>
  </si>
  <si>
    <t>WP13_RW_SLG0004_ZCO_Raw</t>
  </si>
  <si>
    <t>RWPS Channel No. 3 Sluice Gate Open Command</t>
  </si>
  <si>
    <t>WP13_RW_SLG0004_ZCC_Raw</t>
  </si>
  <si>
    <t>RWPS Channel No. 3 Sluice Gate Close Command</t>
  </si>
  <si>
    <t>WP13_RW_RWP0103_HSS_Raw</t>
  </si>
  <si>
    <t xml:space="preserve">Raw Water Pump No. 3 Start/Stop Command </t>
  </si>
  <si>
    <t>WP13_RW_LIT0101_LI_Raw</t>
  </si>
  <si>
    <t xml:space="preserve">Raw Water Pump No. 1 Channel Level </t>
  </si>
  <si>
    <t>WP13_RW_RWP0101_SI_Raw</t>
  </si>
  <si>
    <t xml:space="preserve">Raw Water Pump No. 1 Speed Feedback </t>
  </si>
  <si>
    <t>WP13_RW_LIT0002_LI_Raw</t>
  </si>
  <si>
    <t xml:space="preserve">Raw Water Canal Level </t>
  </si>
  <si>
    <t>WP13_RW_AIT0002_TI_Raw</t>
  </si>
  <si>
    <t xml:space="preserve">Raw Water - Sample Temperature </t>
  </si>
  <si>
    <t>WP13_RW_AIT0002_pH_Raw</t>
  </si>
  <si>
    <t xml:space="preserve">Raw Water - Sample pH Level </t>
  </si>
  <si>
    <t>WP13_RW_AIT0001_NTU_Raw</t>
  </si>
  <si>
    <t xml:space="preserve">Raw Water - Sample Turbidity </t>
  </si>
  <si>
    <t>WP13_RW_AIT0003_COND_Raw</t>
  </si>
  <si>
    <t xml:space="preserve">Raw Water - Sample Conductivity </t>
  </si>
  <si>
    <t>WP13_RW_LIT0102_LI_Raw</t>
  </si>
  <si>
    <t xml:space="preserve">Raw Water Pump No. 2 Channel Level </t>
  </si>
  <si>
    <t>WP13_RW_RWP0102_SI_Raw</t>
  </si>
  <si>
    <t xml:space="preserve">Raw Water Pump No. 2 Speed Feedback </t>
  </si>
  <si>
    <t>WP13_RW_SCADARW_TI_Raw</t>
  </si>
  <si>
    <t>Raw Water Pump Station  SCADA Cabinet Temperature</t>
  </si>
  <si>
    <t>WP13_RW_LIT0103_LI_Raw</t>
  </si>
  <si>
    <t xml:space="preserve">Raw Water Pump No. 3 Channel Level </t>
  </si>
  <si>
    <t>WP13_RW_RWP0103_SI_Raw</t>
  </si>
  <si>
    <t xml:space="preserve">Raw Water Pump No. 3 Speed Feedback </t>
  </si>
  <si>
    <t>WP13_RW_RWP0101_SC_Raw</t>
  </si>
  <si>
    <t xml:space="preserve">Raw Water Pump No. 1 Speed Command </t>
  </si>
  <si>
    <t>WP13_RW_RWP0102_SC_Raw</t>
  </si>
  <si>
    <t xml:space="preserve">Raw Water Pump No. 2 Speed Command </t>
  </si>
  <si>
    <t>WP13_RW_RWP0103_SC_Raw</t>
  </si>
  <si>
    <t xml:space="preserve">Raw Water Pump No. 3 Speed Command </t>
  </si>
  <si>
    <t>WP13_RW_RWP0104_SC_Raw</t>
  </si>
  <si>
    <t xml:space="preserve">Raw Water Pump No. 4 Speed Command </t>
  </si>
  <si>
    <t>WP13_RW_SLG0002</t>
  </si>
  <si>
    <t>FB_VlvDisc WP13_RW_SLG0002 WP13_RW_SLG0002_YCI.Output WP13_RW_SLG0002_ZSO.Output WP13_RW_SLG0002_ZSC.Output WP13_RW_SysClock.NewYear WP13_RW_SysClock.NewMonth WP13_RW_SysClock.NewDay</t>
  </si>
  <si>
    <t>WP13_RW_SCR0001</t>
  </si>
  <si>
    <t>FB_MtrCSWC WP13_RW_SCR0001 WP13_RW_SCR0001_YCI.Output WP13_RW_SCR0001_YRI.Output WP13_RW_SysClock.NewYear WP13_RW_SysClock.NewMonth WP13_RW_SysClock.NewDay</t>
  </si>
  <si>
    <t>WP13_RW_RWP0101</t>
  </si>
  <si>
    <t>FB_MtrVFD WP13_RW_RWP0101 WP13_RW_RWP0101_YCI.Output WP13_RW_RWP0101_YRI.Output WP13_RW_RWP0101_SI_Raw.Output WP13_RW_SysClock.NewYear WP13_RW_SysClock.NewMonth WP13_RW_SysClock.NewDay</t>
  </si>
  <si>
    <t>WP13_RW_SLG0003</t>
  </si>
  <si>
    <t>FB_VlvDisc WP13_RW_SLG0003 WP13_RW_SLG0003_YCI.Output WP13_RW_SLG0003_ZSO.Output WP13_RW_SLG0003_ZSC.Output WP13_RW_SysClock.NewYear WP13_RW_SysClock.NewMonth WP13_RW_SysClock.NewDay</t>
  </si>
  <si>
    <t>WP13_RW_SCR0002</t>
  </si>
  <si>
    <t>FB_MtrCSWC WP13_RW_SCR0002 WP13_RW_SCR0002_YCI.Output WP13_RW_SCR0002_YRI.Output WP13_RW_SysClock.NewYear WP13_RW_SysClock.NewMonth WP13_RW_SysClock.NewDay</t>
  </si>
  <si>
    <t>WP13_RW_RWP0102</t>
  </si>
  <si>
    <t>FB_MtrVFD WP13_RW_RWP0102 WP13_RW_RWP0102_YCI.Output WP13_RW_RWP0102_YRI.Output WP13_RW_RWP0102_SI_Raw.Output WP13_RW_SysClock.NewYear WP13_RW_SysClock.NewMonth WP13_RW_SysClock.NewDay</t>
  </si>
  <si>
    <t>WP13_RW_SLG0004</t>
  </si>
  <si>
    <t>FB_VlvDisc WP13_RW_SLG0004 WP13_RW_SLG0004_YCI.Output WP13_RW_SLG0004_ZSO.Output WP13_RW_SLG0004_ZSC.Output WP13_RW_SysClock.NewYear WP13_RW_SysClock.NewMonth WP13_RW_SysClock.NewDay</t>
  </si>
  <si>
    <t>WP13_RW_SCR0003</t>
  </si>
  <si>
    <t>FB_MtrCSWC WP13_RW_SCR0003 WP13_RW_SCR0003_YCI.Output WP13_RW_SCR0003_YRI.Output WP13_RW_SysClock.NewYear WP13_RW_SysClock.NewMonth WP13_RW_SysClock.NewDay</t>
  </si>
  <si>
    <t>WP13_RW_RWP0103</t>
  </si>
  <si>
    <t>FB_MtrVFD WP13_RW_RWP0103 WP13_RW_RWP0103_YCI.Output WP13_RW_RWP0103_YRI.Output WP13_RW_RWP0103_SI_Raw.Output WP13_RW_SysClock.NewYear WP13_RW_SysClock.NewMonth WP13_RW_SysClock.NewDay</t>
  </si>
  <si>
    <t>WP13_RW_GEN4</t>
  </si>
  <si>
    <t>FB_MtrCSWC WP13_RW_GEN4 WP13_RW_GEN4_YCI.Output WP13_RW_GEN4_YRI.Output WP13_RW_SysClock.NewYear WP13_RW_SysClock.NewMonth WP13_RW_SysClock.NewDay</t>
  </si>
  <si>
    <t>WP13_RW_SCADARW</t>
  </si>
  <si>
    <t>WP13_RW_UPSRW</t>
  </si>
  <si>
    <t>WP13_RW_LIT0101_LI</t>
  </si>
  <si>
    <t>FB_AnaIn WP13_RW_LIT0101_LI WP13_RW_LIT0101_LI_Raw.Output WP13_RW_LIT0101_LI_Raw.ChBad WP13_RW_LIT0101_LI_Raw.ModBad WP13_RW_SysClock.NewYear WP13_RW_SysClock.NewMonth WP13_RW_SysClock.NewDay</t>
  </si>
  <si>
    <t>WP13_RW_LIT0002_LI</t>
  </si>
  <si>
    <t>FB_AnaIn WP13_RW_LIT0002_LI WP13_RW_LIT0002_LI_Raw.Output WP13_RW_LIT0002_LI_Raw.ChBad WP13_RW_LIT0002_LI_Raw.ModBad WP13_RW_SysClock.NewYear WP13_RW_SysClock.NewMonth WP13_RW_SysClock.NewDay</t>
  </si>
  <si>
    <t>WP13_RW_AIT0002_TI</t>
  </si>
  <si>
    <t>FB_AnaIn WP13_RW_AIT0002_TI WP13_RW_AIT0002_TI_Raw.Output WP13_RW_AIT0002_TI_Raw.ChBad WP13_RW_AIT0002_TI_Raw.ModBad WP13_RW_SysClock.NewYear WP13_RW_SysClock.NewMonth WP13_RW_SysClock.NewDay</t>
  </si>
  <si>
    <t>WP13_RW_AIT0002_pH</t>
  </si>
  <si>
    <t>FB_AnaIn WP13_RW_AIT0002_pH WP13_RW_AIT0002_pH_Raw.Output WP13_RW_AIT0002_pH_Raw.ChBad WP13_RW_AIT0002_pH_Raw.ModBad WP13_RW_SysClock.NewYear WP13_RW_SysClock.NewMonth WP13_RW_SysClock.NewDay</t>
  </si>
  <si>
    <t>WP13_RW_AIT0001_NTU</t>
  </si>
  <si>
    <t>FB_AnaIn WP13_RW_AIT0001_NTU WP13_RW_AIT0001_NTU_Raw.Output WP13_RW_AIT0001_NTU_Raw.ChBad WP13_RW_AIT0001_NTU_Raw.ModBad WP13_RW_SysClock.NewYear WP13_RW_SysClock.NewMonth WP13_RW_SysClock.NewDay</t>
  </si>
  <si>
    <t>WP13_RW_AIT0003_COND</t>
  </si>
  <si>
    <t>FB_AnaIn WP13_RW_AIT0003_COND WP13_RW_AIT0003_COND_Raw.Output WP13_RW_AIT0003_COND_Raw.ChBad WP13_RW_AIT0003_COND_Raw.ModBad WP13_RW_SysClock.NewYear WP13_RW_SysClock.NewMonth WP13_RW_SysClock.NewDay</t>
  </si>
  <si>
    <t>WP13_RW_LIT0102_LI</t>
  </si>
  <si>
    <t>FB_AnaIn WP13_RW_LIT0102_LI WP13_RW_LIT0102_LI_Raw.Output WP13_RW_LIT0102_LI_Raw.ChBad WP13_RW_LIT0102_LI_Raw.ModBad WP13_RW_SysClock.NewYear WP13_RW_SysClock.NewMonth WP13_RW_SysClock.NewDay</t>
  </si>
  <si>
    <t>WP13_RW_SCADARW_TI</t>
  </si>
  <si>
    <t>FB_AnaIn WP13_RW_SCADARW_TI WP13_RW_SCADARW_TI_Raw.Output WP13_RW_SCADARW_TI_Raw.ChBad WP13_RW_SCADARW_TI_Raw.ModBad WP13_RW_SysClock.NewYear WP13_RW_SysClock.NewMonth WP13_RW_SysClock.NewDay</t>
  </si>
  <si>
    <t>WP13_RW_LIT0103_LI</t>
  </si>
  <si>
    <t>FB_AnaIn WP13_RW_LIT0103_LI WP13_RW_LIT0103_LI_Raw.Output WP13_RW_LIT0103_LI_Raw.ChBad WP13_RW_LIT0103_LI_Raw.ModBad WP13_RW_SysClock.NewYear WP13_RW_SysClock.NewMonth WP13_RW_SysClock.NewDay</t>
  </si>
  <si>
    <t>WP13_RW_RWP0104</t>
  </si>
  <si>
    <t>FB_MtrVFD WP13_RW_RWP0104 WP13_RW_RWP0104_YCI.Output WP13_RW_RWP0104_YRI.Output WP13_RW_RWP0104_SI_Raw.Output WP13_RW_SysClock.NewYear WP13_RW_SysClock.NewMonth WP13_RW_SysClock.NewDay</t>
  </si>
  <si>
    <t>Parent</t>
  </si>
  <si>
    <t>BNR</t>
  </si>
  <si>
    <t>1756-L72</t>
  </si>
  <si>
    <t>Leak</t>
  </si>
  <si>
    <t>Nitrate Recycle Pump No. 1</t>
  </si>
  <si>
    <t>Nitrate Recycle Pump No. 3</t>
  </si>
  <si>
    <t>Nitrate Recycle Pump No. 4</t>
  </si>
  <si>
    <t>Nitrate Recycle Pump No. 2</t>
  </si>
  <si>
    <t>Nitrate Recycle Pump No. 5</t>
  </si>
  <si>
    <t>Nitrate Recycle Pump No. 6</t>
  </si>
  <si>
    <t>Speed FB</t>
  </si>
  <si>
    <t>fbAnalog</t>
  </si>
  <si>
    <t>fbDigital</t>
  </si>
  <si>
    <t>In Remote</t>
  </si>
  <si>
    <t>Facility</t>
  </si>
  <si>
    <t>Location</t>
  </si>
  <si>
    <t>Asset</t>
  </si>
  <si>
    <t>Loop</t>
  </si>
  <si>
    <t>ISA</t>
  </si>
  <si>
    <t>PL2</t>
  </si>
  <si>
    <t>XXX</t>
  </si>
  <si>
    <t>FIT</t>
  </si>
  <si>
    <t>PMP</t>
  </si>
  <si>
    <t>TAH</t>
  </si>
  <si>
    <t>0111</t>
  </si>
  <si>
    <t>YCI</t>
  </si>
  <si>
    <t>452</t>
  </si>
  <si>
    <t>MAH</t>
  </si>
  <si>
    <t>HSS</t>
  </si>
  <si>
    <t>SI</t>
  </si>
  <si>
    <t>SC</t>
  </si>
  <si>
    <t>0112</t>
  </si>
  <si>
    <t>0211</t>
  </si>
  <si>
    <t>0212</t>
  </si>
  <si>
    <t>0311</t>
  </si>
  <si>
    <t>0312</t>
  </si>
  <si>
    <t>Nitrate Recycle Pump No. 1 In Remote</t>
  </si>
  <si>
    <t>Nitrate Recycle Pump No. 1 Running</t>
  </si>
  <si>
    <t>Nitrate Recycle Pump No. 1 Fault</t>
  </si>
  <si>
    <t>Nitrate Recycle Pump No. 1 Temperature High</t>
  </si>
  <si>
    <t>Nitrate Recycle Pump No. 1 Leak Alarm</t>
  </si>
  <si>
    <t>Nitrate Recycle Pump No. 1 E-Stop</t>
  </si>
  <si>
    <t>Nitrate Recycle Pump No. 1 Start / Stop Command</t>
  </si>
  <si>
    <t>Nitrate Recycle Pump No. 1 Speed Feedback</t>
  </si>
  <si>
    <t>Nitrate Recycle Pump No. 1 Speed Setpoint</t>
  </si>
  <si>
    <t>Nitrate Recycle Pump No. 2 In Remote</t>
  </si>
  <si>
    <t>Nitrate Recycle Pump No. 2 Running</t>
  </si>
  <si>
    <t>Nitrate Recycle Pump No. 2 Fault</t>
  </si>
  <si>
    <t>Nitrate Recycle Pump No. 2 Temperature High</t>
  </si>
  <si>
    <t>Nitrate Recycle Pump No. 2 Leak Alarm</t>
  </si>
  <si>
    <t>Nitrate Recycle Pump No. 2 E-Stop</t>
  </si>
  <si>
    <t>Nitrate Recycle Pump No. 2 Start / Stop Command</t>
  </si>
  <si>
    <t>Nitrate Recycle Pump No. 2 Speed Feedback</t>
  </si>
  <si>
    <t>Nitrate Recycle Pump No. 2 Speed Setpoint</t>
  </si>
  <si>
    <t>Nitrate Recycle Pump No. 3 In Remote</t>
  </si>
  <si>
    <t>Nitrate Recycle Pump No. 3 Running</t>
  </si>
  <si>
    <t>Nitrate Recycle Pump No. 3 Fault</t>
  </si>
  <si>
    <t>Nitrate Recycle Pump No. 3 Temperature High</t>
  </si>
  <si>
    <t>Nitrate Recycle Pump No. 3 Leak Alarm</t>
  </si>
  <si>
    <t>Nitrate Recycle Pump No. 3 E-Stop</t>
  </si>
  <si>
    <t>Nitrate Recycle Pump No. 3 Start / Stop Command</t>
  </si>
  <si>
    <t>Nitrate Recycle Pump No. 3 Speed Feedback</t>
  </si>
  <si>
    <t>Nitrate Recycle Pump No. 3 Speed Setpoint</t>
  </si>
  <si>
    <t>Nitrate Recycle Pump No. 4 In Remote</t>
  </si>
  <si>
    <t>Nitrate Recycle Pump No. 4 Running</t>
  </si>
  <si>
    <t>Nitrate Recycle Pump No. 4 Fault</t>
  </si>
  <si>
    <t>Nitrate Recycle Pump No. 4 Temperature High</t>
  </si>
  <si>
    <t>Nitrate Recycle Pump No. 4 Leak Alarm</t>
  </si>
  <si>
    <t>Nitrate Recycle Pump No. 4 E-Stop</t>
  </si>
  <si>
    <t>Nitrate Recycle Pump No. 4 Start / Stop Command</t>
  </si>
  <si>
    <t>Nitrate Recycle Pump No. 4 Speed Feedback</t>
  </si>
  <si>
    <t>Nitrate Recycle Pump No. 4 Speed Setpoint</t>
  </si>
  <si>
    <t>Nitrate Recycle Pump No. 5 In Remote</t>
  </si>
  <si>
    <t>Nitrate Recycle Pump No. 5 Running</t>
  </si>
  <si>
    <t>Nitrate Recycle Pump No. 5 Fault</t>
  </si>
  <si>
    <t>Nitrate Recycle Pump No. 5 Temperature High</t>
  </si>
  <si>
    <t>Nitrate Recycle Pump No. 5 Leak Alarm</t>
  </si>
  <si>
    <t>Nitrate Recycle Pump No. 5 E-Stop</t>
  </si>
  <si>
    <t>Nitrate Recycle Pump No. 5 Start / Stop Command</t>
  </si>
  <si>
    <t>Nitrate Recycle Pump No. 5 Speed Feedback</t>
  </si>
  <si>
    <t>Nitrate Recycle Pump No. 5 Speed Setpoint</t>
  </si>
  <si>
    <t>Nitrate Recycle Pump No. 6 In Remote</t>
  </si>
  <si>
    <t>Nitrate Recycle Pump No. 6 Running</t>
  </si>
  <si>
    <t>Nitrate Recycle Pump No. 6 Fault</t>
  </si>
  <si>
    <t>Nitrate Recycle Pump No. 6 Temperature High</t>
  </si>
  <si>
    <t>Nitrate Recycle Pump No. 6 Leak Alarm</t>
  </si>
  <si>
    <t>Nitrate Recycle Pump No. 6 E-Stop</t>
  </si>
  <si>
    <t>Nitrate Recycle Pump No. 6 Start / Stop Command</t>
  </si>
  <si>
    <t>Nitrate Recycle Pump No. 6 Speed Feedback</t>
  </si>
  <si>
    <t>Nitrate Recycle Pump No. 6 Speed Setpoint</t>
  </si>
  <si>
    <t>fbMotor</t>
  </si>
  <si>
    <t>463</t>
  </si>
  <si>
    <t>AIT</t>
  </si>
  <si>
    <t>0139</t>
  </si>
  <si>
    <t>TSS</t>
  </si>
  <si>
    <t>BNR Train No. 1 TSS</t>
  </si>
  <si>
    <t>0149</t>
  </si>
  <si>
    <t>0159</t>
  </si>
  <si>
    <t>BNR Train No. 2 TSS</t>
  </si>
  <si>
    <t>BNR Train No. 3 TSS</t>
  </si>
  <si>
    <t>433</t>
  </si>
  <si>
    <t>0131</t>
  </si>
  <si>
    <t>0133</t>
  </si>
  <si>
    <t>0135</t>
  </si>
  <si>
    <t>BNR Train No. 1 DO Post Grid 1</t>
  </si>
  <si>
    <t>BNR Train No. 1 DO Post Grid 3</t>
  </si>
  <si>
    <t>BNR Train No. 1 DO Post Grid 5</t>
  </si>
  <si>
    <t>0233</t>
  </si>
  <si>
    <t>BNR Train No. 3 DO Post Grid 1</t>
  </si>
  <si>
    <t>BNR Train No. 3 DO Post Grid 3</t>
  </si>
  <si>
    <t>BNR Train No. 3 DO Post Grid 5</t>
  </si>
  <si>
    <t>BNR Train No. 2 DO Post Grid 5</t>
  </si>
  <si>
    <t>BNR Train No. 2 DO Post Grid 3</t>
  </si>
  <si>
    <t>BNR Train No. 2 DO Post Grid 1</t>
  </si>
  <si>
    <t>0141</t>
  </si>
  <si>
    <t>0143</t>
  </si>
  <si>
    <t>0145</t>
  </si>
  <si>
    <t>0151</t>
  </si>
  <si>
    <t>0153</t>
  </si>
  <si>
    <t>0155</t>
  </si>
  <si>
    <t>431</t>
  </si>
  <si>
    <t>450</t>
  </si>
  <si>
    <t>0062</t>
  </si>
  <si>
    <t>0063</t>
  </si>
  <si>
    <t>NO3</t>
  </si>
  <si>
    <t>PH</t>
  </si>
  <si>
    <t>BNR Effluent Channel Nitrate</t>
  </si>
  <si>
    <t>BNR Effluent Channel pH</t>
  </si>
  <si>
    <t>4227</t>
  </si>
  <si>
    <t>063</t>
  </si>
  <si>
    <t>HTP</t>
  </si>
  <si>
    <t>0100</t>
  </si>
  <si>
    <t>BNR Heat Trace Fail</t>
  </si>
  <si>
    <t>4228</t>
  </si>
  <si>
    <t>ZS</t>
  </si>
  <si>
    <t>0801</t>
  </si>
  <si>
    <t>PLC-BNR Cabinet Intrusion</t>
  </si>
  <si>
    <t>JS</t>
  </si>
  <si>
    <t>0803</t>
  </si>
  <si>
    <t>0804</t>
  </si>
  <si>
    <t>PLC-BNR 24VDC Fail</t>
  </si>
  <si>
    <t>PLC-BNR 120VAC Fail</t>
  </si>
  <si>
    <t>TT</t>
  </si>
  <si>
    <t>0802</t>
  </si>
  <si>
    <t>PLC-BNR Cabinet Temperature</t>
  </si>
  <si>
    <t>461</t>
  </si>
  <si>
    <t>0201</t>
  </si>
  <si>
    <t>BNR Blower Electrical Room Temp</t>
  </si>
  <si>
    <t>321</t>
  </si>
  <si>
    <t>BLR</t>
  </si>
  <si>
    <t>0213</t>
  </si>
  <si>
    <t>0223</t>
  </si>
  <si>
    <t>0243</t>
  </si>
  <si>
    <t>0253</t>
  </si>
  <si>
    <t>0263</t>
  </si>
  <si>
    <t>0273</t>
  </si>
  <si>
    <t>0283</t>
  </si>
  <si>
    <t>BNR Blower No. 1 Core 1</t>
  </si>
  <si>
    <t>BNR Blower No. 1 Core 2</t>
  </si>
  <si>
    <t>BNR Blower No. 2 Core 2</t>
  </si>
  <si>
    <t>BNR Blower No. 2 Core 1</t>
  </si>
  <si>
    <t>BNR Blower No. 3 Core 2</t>
  </si>
  <si>
    <t>BNR Blower No. 3 Core 1</t>
  </si>
  <si>
    <t>BNR Blower No. 4 Core 1</t>
  </si>
  <si>
    <t>BNR Blower No. 4 Core 2</t>
  </si>
  <si>
    <t>BNR Blower No. 1 Core 1 Running</t>
  </si>
  <si>
    <t>BNR Blower No. 1 Core 1 Fault</t>
  </si>
  <si>
    <t>BNR Blower No. 1 Core 1 E-Stop</t>
  </si>
  <si>
    <t>BNR Blower No. 1 Core 1 Speed Feedback</t>
  </si>
  <si>
    <t>BNR Blower No. 1 Core 1 In Remote</t>
  </si>
  <si>
    <t>YAF</t>
  </si>
  <si>
    <t>YRI</t>
  </si>
  <si>
    <t>YAE</t>
  </si>
  <si>
    <t>0222</t>
  </si>
  <si>
    <t>0213A</t>
  </si>
  <si>
    <t>BNR Blower No. 1 Core 1 Bearing Temp</t>
  </si>
  <si>
    <t>BNR Blower No. 1 Core 1 Motor Temp</t>
  </si>
  <si>
    <t>0213B</t>
  </si>
  <si>
    <t>TIT</t>
  </si>
  <si>
    <t>0224</t>
  </si>
  <si>
    <t>BNR Blower No. 1 Core 1 Inlet Temp</t>
  </si>
  <si>
    <t>BNR Blower No. 1 Core 1 Discharge Temp</t>
  </si>
  <si>
    <t>0214</t>
  </si>
  <si>
    <t>PDIT</t>
  </si>
  <si>
    <t>0221</t>
  </si>
  <si>
    <t>BNR Blower No. 1 Filter Differential Pressure</t>
  </si>
  <si>
    <t>MI</t>
  </si>
  <si>
    <t>BNR Blower No. 1 Inlet Ambient Temperature</t>
  </si>
  <si>
    <t>BNR Blower No. 1 Inlet Ambient Humidity</t>
  </si>
  <si>
    <t>BNR Blower No. 1 Core 2 In Remote</t>
  </si>
  <si>
    <t>BNR Blower No. 1 Core 2 Running</t>
  </si>
  <si>
    <t>BNR Blower No. 1 Core 2 Fault</t>
  </si>
  <si>
    <t>BNR Blower No. 1 Core 2 E-Stop</t>
  </si>
  <si>
    <t>BNR Blower No. 1 Core 2 Speed Feedback</t>
  </si>
  <si>
    <t>BNR Blower No. 1 Core 2 Motor Temp</t>
  </si>
  <si>
    <t>BNR Blower No. 1 Core 2 Bearing Temp</t>
  </si>
  <si>
    <t>BNR Blower No. 1 Core 2 Discharge Temp</t>
  </si>
  <si>
    <t>0223A</t>
  </si>
  <si>
    <t>0223B</t>
  </si>
  <si>
    <t>0233A</t>
  </si>
  <si>
    <t>0233B</t>
  </si>
  <si>
    <t>0243A</t>
  </si>
  <si>
    <t>0243B</t>
  </si>
  <si>
    <t>0232</t>
  </si>
  <si>
    <t>0234</t>
  </si>
  <si>
    <t>0241</t>
  </si>
  <si>
    <t>0242</t>
  </si>
  <si>
    <t>0244</t>
  </si>
  <si>
    <t>BNR Blower No. 2 Filter Differential Pressure</t>
  </si>
  <si>
    <t>BNR Blower No. 2 Inlet Ambient Temperature</t>
  </si>
  <si>
    <t>BNR Blower No. 2 Inlet Ambient Humidity</t>
  </si>
  <si>
    <t>BNR Blower No. 2 Core 1 In Remote</t>
  </si>
  <si>
    <t>BNR Blower No. 2 Core 1 Running</t>
  </si>
  <si>
    <t>BNR Blower No. 2 Core 1 Fault</t>
  </si>
  <si>
    <t>BNR Blower No. 2 Core 1 E-Stop</t>
  </si>
  <si>
    <t>BNR Blower No. 2 Core 1 Speed Feedback</t>
  </si>
  <si>
    <t>BNR Blower No. 2 Core 1 Motor Temp</t>
  </si>
  <si>
    <t>BNR Blower No. 2 Core 1 Bearing Temp</t>
  </si>
  <si>
    <t>BNR Blower No. 2 Core 1 Discharge Temp</t>
  </si>
  <si>
    <t>BNR Blower No. 2 Core 2 In Remote</t>
  </si>
  <si>
    <t>BNR Blower No. 2 Core 2 Running</t>
  </si>
  <si>
    <t>BNR Blower No. 2 Core 2 Fault</t>
  </si>
  <si>
    <t>BNR Blower No. 2 Core 2 E-Stop</t>
  </si>
  <si>
    <t>BNR Blower No. 2 Core 2 Speed Feedback</t>
  </si>
  <si>
    <t>BNR Blower No. 2 Core 2 Motor Temp</t>
  </si>
  <si>
    <t>BNR Blower No. 2 Core 2 Bearing Temp</t>
  </si>
  <si>
    <t>BNR Blower No. 2 Core 2 Discharge Temp</t>
  </si>
  <si>
    <t>0253A</t>
  </si>
  <si>
    <t>0253B</t>
  </si>
  <si>
    <t>0252</t>
  </si>
  <si>
    <t>0254</t>
  </si>
  <si>
    <t>0261</t>
  </si>
  <si>
    <t>0263A</t>
  </si>
  <si>
    <t>0263B</t>
  </si>
  <si>
    <t>0262</t>
  </si>
  <si>
    <t>0264</t>
  </si>
  <si>
    <t>0273A</t>
  </si>
  <si>
    <t>0273B</t>
  </si>
  <si>
    <t>0272</t>
  </si>
  <si>
    <t>0274</t>
  </si>
  <si>
    <t>0281</t>
  </si>
  <si>
    <t>0283A</t>
  </si>
  <si>
    <t>0283B</t>
  </si>
  <si>
    <t>0282</t>
  </si>
  <si>
    <t>0284</t>
  </si>
  <si>
    <t>BNR Blower No. 3 Filter Differential Pressure</t>
  </si>
  <si>
    <t>BNR Blower No. 3 Inlet Ambient Temperature</t>
  </si>
  <si>
    <t>BNR Blower No. 3 Inlet Ambient Humidity</t>
  </si>
  <si>
    <t>BNR Blower No. 3 Core 1 In Remote</t>
  </si>
  <si>
    <t>BNR Blower No. 3 Core 1 Running</t>
  </si>
  <si>
    <t>BNR Blower No. 3 Core 1 Fault</t>
  </si>
  <si>
    <t>BNR Blower No. 3 Core 1 E-Stop</t>
  </si>
  <si>
    <t>BNR Blower No. 3 Core 1 Speed Feedback</t>
  </si>
  <si>
    <t>BNR Blower No. 3 Core 1 Motor Temp</t>
  </si>
  <si>
    <t>BNR Blower No. 3 Core 1 Bearing Temp</t>
  </si>
  <si>
    <t>BNR Blower No. 3 Core 1 Discharge Temp</t>
  </si>
  <si>
    <t>BNR Blower No. 3 Core 2 In Remote</t>
  </si>
  <si>
    <t>BNR Blower No. 3 Core 2 Running</t>
  </si>
  <si>
    <t>BNR Blower No. 3 Core 2 Fault</t>
  </si>
  <si>
    <t>BNR Blower No. 3 Core 2 E-Stop</t>
  </si>
  <si>
    <t>BNR Blower No. 3 Core 2 Speed Feedback</t>
  </si>
  <si>
    <t>BNR Blower No. 3 Core 2 Motor Temp</t>
  </si>
  <si>
    <t>BNR Blower No. 3 Core 2 Bearing Temp</t>
  </si>
  <si>
    <t>BNR Blower No. 3 Core 2 Discharge Temp</t>
  </si>
  <si>
    <t>BNR Blower No. 4 Filter Differential Pressure</t>
  </si>
  <si>
    <t>BNR Blower No. 4 Inlet Ambient Temperature</t>
  </si>
  <si>
    <t>BNR Blower No. 4 Inlet Ambient Humidity</t>
  </si>
  <si>
    <t>BNR Blower No. 4 Core 1 In Remote</t>
  </si>
  <si>
    <t>BNR Blower No. 4 Core 1 Running</t>
  </si>
  <si>
    <t>BNR Blower No. 4 Core 1 Fault</t>
  </si>
  <si>
    <t>BNR Blower No. 4 Core 1 E-Stop</t>
  </si>
  <si>
    <t>BNR Blower No. 4 Core 1 Speed Feedback</t>
  </si>
  <si>
    <t>BNR Blower No. 4 Core 1 Motor Temp</t>
  </si>
  <si>
    <t>BNR Blower No. 4 Core 1 Bearing Temp</t>
  </si>
  <si>
    <t>BNR Blower No. 4 Core 1 Discharge Temp</t>
  </si>
  <si>
    <t>BNR Blower No. 4 Core 2 In Remote</t>
  </si>
  <si>
    <t>BNR Blower No. 4 Core 2 Running</t>
  </si>
  <si>
    <t>BNR Blower No. 4 Core 2 Fault</t>
  </si>
  <si>
    <t>BNR Blower No. 4 Core 2 E-Stop</t>
  </si>
  <si>
    <t>BNR Blower No. 4 Core 2 Speed Feedback</t>
  </si>
  <si>
    <t>BNR Blower No. 4 Core 2 Motor Temp</t>
  </si>
  <si>
    <t>BNR Blower No. 4 Core 2 Bearing Temp</t>
  </si>
  <si>
    <t>BNR Blower No. 4 Core 2 Discharge Temp</t>
  </si>
  <si>
    <t>BNR Blower No. 1 UPS Alarm</t>
  </si>
  <si>
    <t>110</t>
  </si>
  <si>
    <t>0280</t>
  </si>
  <si>
    <t>0220</t>
  </si>
  <si>
    <t>BNR Blower No. 2 UPS Alarm</t>
  </si>
  <si>
    <t>BNR Blower No. 3 UPS Alarm</t>
  </si>
  <si>
    <t>BNR Blower No. 4 UPS Alarm</t>
  </si>
  <si>
    <t>0240</t>
  </si>
  <si>
    <t>0260</t>
  </si>
  <si>
    <t>UPS</t>
  </si>
  <si>
    <t>BNR Blower No. 2 UPS On Battery</t>
  </si>
  <si>
    <t>BNR Blower No. 3 UPS On Battery</t>
  </si>
  <si>
    <t>BNR Blower No. 4 UPS On Battery</t>
  </si>
  <si>
    <t>BNR Blower No. 1 UPS On Battery</t>
  </si>
  <si>
    <t>JSB</t>
  </si>
  <si>
    <t>VFD</t>
  </si>
  <si>
    <t>0210</t>
  </si>
  <si>
    <t>0230</t>
  </si>
  <si>
    <t>0250</t>
  </si>
  <si>
    <t>0270</t>
  </si>
  <si>
    <t>LVSP</t>
  </si>
  <si>
    <t>BNR Blower No. 1 SPD Fault</t>
  </si>
  <si>
    <t>BNR Blower No. 2 SPD Fault</t>
  </si>
  <si>
    <t>BNR Blower No. 3 SPD Fault</t>
  </si>
  <si>
    <t>BNR Blower No. 4 SPD Fault</t>
  </si>
  <si>
    <t>SPD</t>
  </si>
  <si>
    <t>BNR Blower No. 1 Core 1 LVSP Fault</t>
  </si>
  <si>
    <t>BNR Blower No. 2 Core 1 LVSP Fault</t>
  </si>
  <si>
    <t>BNR Blower No. 3 Core 1 LVSP Fault</t>
  </si>
  <si>
    <t>BNR Blower No. 4 Core 1 LVSP Fault</t>
  </si>
  <si>
    <t>BNR Blower No. 1 Core 2 LVSP Fault</t>
  </si>
  <si>
    <t>BNR Blower No. 2 Core 2 LVSP Fault</t>
  </si>
  <si>
    <t>BNR Blower No. 3 Core 2 LVSP Fault</t>
  </si>
  <si>
    <t>BNR Blower No. 4 Core 2 LVSP Fault</t>
  </si>
  <si>
    <t>BNR Blower No. 1 Core 2 VFD Fault</t>
  </si>
  <si>
    <t>BNR Blower No. 2 Core 1 VFD Fault</t>
  </si>
  <si>
    <t>BNR Blower No. 2 Core 2 VFD Fault</t>
  </si>
  <si>
    <t>BNR Blower No. 3 Core 1 VFD Fault</t>
  </si>
  <si>
    <t>BNR Blower No. 3 Core 2 VFD Fault</t>
  </si>
  <si>
    <t>BNR Blower No. 4 Core 1 VFD Fault</t>
  </si>
  <si>
    <t>BNR Blower No. 4 Core 2 VFD Fault</t>
  </si>
  <si>
    <t>BNR Blower No. 1 Core 1 VFD Fault</t>
  </si>
  <si>
    <t>PL2_4227_235_PMP_0111_YCI</t>
  </si>
  <si>
    <t>PL2_4227_235_PMP_0111_YRI</t>
  </si>
  <si>
    <t>PL2_4227_235_PMP_0111_YAF</t>
  </si>
  <si>
    <t>PL2_4227_235_PMP_0111_MAH</t>
  </si>
  <si>
    <t>PL2_4227_235_PMP_0111_YAE</t>
  </si>
  <si>
    <t>PL2_4227_235_PMP_0212_YCI</t>
  </si>
  <si>
    <t>PL2_4227_235_PMP_0212_YRI</t>
  </si>
  <si>
    <t>PL2_4227_235_PMP_0212_YAF</t>
  </si>
  <si>
    <t>PL2_4227_235_PMP_0212_MAH</t>
  </si>
  <si>
    <t>PL2_4227_235_PMP_0212_YAE</t>
  </si>
  <si>
    <t>PL2_4227_235_PMP_0112_YCI</t>
  </si>
  <si>
    <t>PL2_4227_235_PMP_0112_YRI</t>
  </si>
  <si>
    <t>PL2_4227_235_PMP_0112_YAF</t>
  </si>
  <si>
    <t>PL2_4227_235_PMP_0112_MAH</t>
  </si>
  <si>
    <t>PL2_4227_235_PMP_0112_YAE</t>
  </si>
  <si>
    <t>PL2_4227_235_PMP_0311_YCI</t>
  </si>
  <si>
    <t>PL2_4227_235_PMP_0311_YRI</t>
  </si>
  <si>
    <t>PL2_4227_235_PMP_0311_YAF</t>
  </si>
  <si>
    <t>PL2_4227_235_PMP_0311_MAH</t>
  </si>
  <si>
    <t>PL2_4227_235_PMP_0311_YAE</t>
  </si>
  <si>
    <t>PL2_4227_235_PMP_0211_YCI</t>
  </si>
  <si>
    <t>PL2_4227_235_PMP_0211_YRI</t>
  </si>
  <si>
    <t>PL2_4227_235_PMP_0211_YAF</t>
  </si>
  <si>
    <t>PL2_4227_235_PMP_0211_MAH</t>
  </si>
  <si>
    <t>PL2_4227_235_PMP_0211_YAE</t>
  </si>
  <si>
    <t>PL2_4227_235_PMP_0312_YCI</t>
  </si>
  <si>
    <t>PL2_4227_235_PMP_0312_YRI</t>
  </si>
  <si>
    <t>PL2_4227_235_PMP_0312_YAF</t>
  </si>
  <si>
    <t>PL2_4227_235_PMP_0312_MAH</t>
  </si>
  <si>
    <t>PL2_4227_235_PMP_0312_YAE</t>
  </si>
  <si>
    <t>PL2_4227_235_PMP_0312_HSS</t>
  </si>
  <si>
    <t>PL2_4227_235_PMP_0111_HSS</t>
  </si>
  <si>
    <t>PL2_4227_235_PMP_0112_HSS</t>
  </si>
  <si>
    <t>PL2_4227_235_PMP_0211_HSS</t>
  </si>
  <si>
    <t>PL2_4227_235_PMP_0212_HSS</t>
  </si>
  <si>
    <t>PL2_4227_235_PMP_0311_HSS</t>
  </si>
  <si>
    <t>PL2_4227_235_PMP_0111_SI</t>
  </si>
  <si>
    <t>PL2_4227_235_PMP_0112_SI</t>
  </si>
  <si>
    <t>PL2_4227_235_PMP_0211_SI</t>
  </si>
  <si>
    <t>PL2_4227_235_PMP_0212_SI</t>
  </si>
  <si>
    <t>PL2_4227_235_PMP_0311_SI</t>
  </si>
  <si>
    <t>PL2_4227_235_PMP_0312_SI</t>
  </si>
  <si>
    <t>PL2_4227_235_PMP_0111_SC</t>
  </si>
  <si>
    <t>PL2_4227_235_PMP_0112_SC</t>
  </si>
  <si>
    <t>PL2_4227_235_PMP_0211_SC</t>
  </si>
  <si>
    <t>PL2_4227_235_PMP_0212_SC</t>
  </si>
  <si>
    <t>PL2_4227_235_PMP_0311_SC</t>
  </si>
  <si>
    <t>PL2_4227_235_PMP_0312_SC</t>
  </si>
  <si>
    <t>fbanalog</t>
  </si>
  <si>
    <t>Comment</t>
  </si>
  <si>
    <t>Rung ASCII</t>
  </si>
  <si>
    <t>ASCII Formulas</t>
  </si>
  <si>
    <t>Comment Formulas</t>
  </si>
  <si>
    <t>Comment Helpers</t>
  </si>
  <si>
    <t>Comments</t>
  </si>
  <si>
    <t>PLC-BNR</t>
  </si>
  <si>
    <t>Cabinet Intrusion</t>
  </si>
  <si>
    <t>24VDC Fail</t>
  </si>
  <si>
    <t>120VAC Fail</t>
  </si>
  <si>
    <t>PL2_4227_463_AIT_0139_TSS</t>
  </si>
  <si>
    <t>PL2_4227_463_AIT_0149_TSS</t>
  </si>
  <si>
    <t>Cabinet Temperature</t>
  </si>
  <si>
    <t>PL2_4228_461_TT_0201</t>
  </si>
  <si>
    <t>BNR Blower Electrical Room</t>
  </si>
  <si>
    <t>PL2_4227_063_HTP_0100</t>
  </si>
  <si>
    <t>PL2_4227_431_AIT_0062_NO3</t>
  </si>
  <si>
    <t>PL2_4227_450_AIT_0063_PH</t>
  </si>
  <si>
    <t>BNR Effluent Channel</t>
  </si>
  <si>
    <t>Nitrate</t>
  </si>
  <si>
    <t>pH</t>
  </si>
  <si>
    <t>PL2_4227_463_AIT_0159_TSS</t>
  </si>
  <si>
    <t>Type2</t>
  </si>
  <si>
    <t>CSV Text</t>
  </si>
  <si>
    <t>P2P</t>
  </si>
  <si>
    <t>PL2_4228_321_BLR_0213_YCI</t>
  </si>
  <si>
    <t>PL2_4228_321_BLR_0213_YRI</t>
  </si>
  <si>
    <t>PL2_4228_321_BLR_0223_YCI</t>
  </si>
  <si>
    <t>PL2_4228_321_BLR_0223_YRI</t>
  </si>
  <si>
    <t>PL2_4228_321_BLR_0233_YCI</t>
  </si>
  <si>
    <t>PL2_4228_321_BLR_0233_YRI</t>
  </si>
  <si>
    <t>PL2_4228_321_BLR_0243_YCI</t>
  </si>
  <si>
    <t>PL2_4228_321_BLR_0243_YRI</t>
  </si>
  <si>
    <t>PL2_4228_321_BLR_0253_YCI</t>
  </si>
  <si>
    <t>PL2_4228_321_BLR_0253_YRI</t>
  </si>
  <si>
    <t>PL2_4228_321_BLR_0263_YCI</t>
  </si>
  <si>
    <t>PL2_4228_321_BLR_0263_YRI</t>
  </si>
  <si>
    <t>PL2_4228_321_BLR_0273_YCI</t>
  </si>
  <si>
    <t>PL2_4228_321_BLR_0273_YRI</t>
  </si>
  <si>
    <t>PL2_4228_321_BLR_0283_YCI</t>
  </si>
  <si>
    <t>PL2_4228_321_BLR_0283_YRI</t>
  </si>
  <si>
    <t>Start / Stop Command</t>
  </si>
  <si>
    <t>Dummy P2P</t>
  </si>
  <si>
    <t>PL2_4228_461_TIT_0212</t>
  </si>
  <si>
    <t>PL2_4228_461_TIT_0214</t>
  </si>
  <si>
    <t>PL2_4228_452_PDIT_0221</t>
  </si>
  <si>
    <t>PL2_4228_452_TIT_0221</t>
  </si>
  <si>
    <t>PL2_4228_452_AIT_0221_MI</t>
  </si>
  <si>
    <t>PL2_4228_461_TIT_0222</t>
  </si>
  <si>
    <t>PL2_4228_461_TIT_0224</t>
  </si>
  <si>
    <t>PL2_4228_461_TIT_0232</t>
  </si>
  <si>
    <t>PL2_4228_461_TIT_0234</t>
  </si>
  <si>
    <t>PL2_4228_452_PDIT_0241</t>
  </si>
  <si>
    <t>PL2_4228_452_TIT_0241</t>
  </si>
  <si>
    <t>PL2_4228_452_AIT_0241_MI</t>
  </si>
  <si>
    <t>PL2_4228_461_TIT_0242</t>
  </si>
  <si>
    <t>PL2_4228_461_TIT_0244</t>
  </si>
  <si>
    <t>PL2_4228_461_TIT_0252</t>
  </si>
  <si>
    <t>PL2_4228_461_TIT_0254</t>
  </si>
  <si>
    <t>PL2_4228_452_PDIT_0261</t>
  </si>
  <si>
    <t>PL2_4228_452_TIT_0261</t>
  </si>
  <si>
    <t>PL2_4228_452_AIT_0261_MI</t>
  </si>
  <si>
    <t>PL2_4228_461_TIT_0262</t>
  </si>
  <si>
    <t>PL2_4228_461_TIT_0264</t>
  </si>
  <si>
    <t>PL2_4228_461_TIT_0272</t>
  </si>
  <si>
    <t>PL2_4228_461_TIT_0274</t>
  </si>
  <si>
    <t>PL2_4228_452_PDIT_0281</t>
  </si>
  <si>
    <t>PL2_4228_452_TIT_0281</t>
  </si>
  <si>
    <t>PL2_4228_452_AIT_0281_MI</t>
  </si>
  <si>
    <t>PL2_4228_461_TIT_0282</t>
  </si>
  <si>
    <t>PL2_4228_461_TIT_0284</t>
  </si>
  <si>
    <t>PL2_4228_461_TIT_0213A</t>
  </si>
  <si>
    <t>PL2_4228_461_TIT_0213B</t>
  </si>
  <si>
    <t>PL2_4228_461_TIT_0223A</t>
  </si>
  <si>
    <t>PL2_4228_461_TIT_0223B</t>
  </si>
  <si>
    <t>PL2_4228_461_TIT_0233A</t>
  </si>
  <si>
    <t>PL2_4228_461_TIT_0233B</t>
  </si>
  <si>
    <t>PL2_4228_461_TIT_0243A</t>
  </si>
  <si>
    <t>PL2_4228_461_TIT_0243B</t>
  </si>
  <si>
    <t>PL2_4228_461_TIT_0253A</t>
  </si>
  <si>
    <t>PL2_4228_461_TIT_0253B</t>
  </si>
  <si>
    <t>PL2_4228_461_TIT_0263A</t>
  </si>
  <si>
    <t>PL2_4228_461_TIT_0263B</t>
  </si>
  <si>
    <t>PL2_4228_461_TIT_0273A</t>
  </si>
  <si>
    <t>PL2_4228_461_TIT_0273B</t>
  </si>
  <si>
    <t>PL2_4228_461_TIT_0283A</t>
  </si>
  <si>
    <t>PL2_4228_461_TIT_0283B</t>
  </si>
  <si>
    <t>BNR Blower No. 1</t>
  </si>
  <si>
    <t>Filter Differential Pressure</t>
  </si>
  <si>
    <t>Inlet Ambient Temperature</t>
  </si>
  <si>
    <t>Inlet Ambient Humidity</t>
  </si>
  <si>
    <t>BNR Blower No. 2</t>
  </si>
  <si>
    <t>BNR Blower No. 3</t>
  </si>
  <si>
    <t>BNR Blower No. 4</t>
  </si>
  <si>
    <t>Motor Temp</t>
  </si>
  <si>
    <t>Bearing Temp</t>
  </si>
  <si>
    <t>Discharge Temp</t>
  </si>
  <si>
    <t>Inlet Temp</t>
  </si>
  <si>
    <t>BNR Blower No. 1 Core 2 Inlet Temp</t>
  </si>
  <si>
    <t>BNR Blower No. 2 Core 1 Inlet Temp</t>
  </si>
  <si>
    <t>BNR Blower No. 2 Core 2 Inlet Temp</t>
  </si>
  <si>
    <t>BNR Blower No. 3 Core 1 Inlet Temp</t>
  </si>
  <si>
    <t>BNR Blower No. 3 Core 2 Inlet Temp</t>
  </si>
  <si>
    <t>BNR Blower No. 4 Core 1 Inlet Temp</t>
  </si>
  <si>
    <t>BNR Blower No. 4 Core 2 Inlet Temp</t>
  </si>
  <si>
    <t>PL2_4228_321_BLR_0213_YAF</t>
  </si>
  <si>
    <t>PL2_4228_321_BLR_0213_YAE</t>
  </si>
  <si>
    <t>PL2_4228_110_UPS_0220_YAF</t>
  </si>
  <si>
    <t>PL2_4228_110_UPS_0220_JSB</t>
  </si>
  <si>
    <t>PL2_4228_110_VFD_0220_YAF</t>
  </si>
  <si>
    <t>PL2_4228_110_LVSP_0220_YAF</t>
  </si>
  <si>
    <t>PL2_4228_110_SPD_0220_YAF</t>
  </si>
  <si>
    <t>PL2_4228_321_BLR_0223_YAF</t>
  </si>
  <si>
    <t>PL2_4228_321_BLR_0223_YAE</t>
  </si>
  <si>
    <t>PL2_4228_110_VFD_0230_YAF</t>
  </si>
  <si>
    <t>PL2_4228_110_LVSP_0230_YAF</t>
  </si>
  <si>
    <t>PL2_4228_321_BLR_0233_YAF</t>
  </si>
  <si>
    <t>PL2_4228_321_BLR_0233_YAE</t>
  </si>
  <si>
    <t>PL2_4228_110_UPS_0240_YAF</t>
  </si>
  <si>
    <t>PL2_4228_110_UPS_0240_JSB</t>
  </si>
  <si>
    <t>PL2_4228_110_VFD_0240_YAF</t>
  </si>
  <si>
    <t>PL2_4228_110_LVSP_0240_YAF</t>
  </si>
  <si>
    <t>PL2_4228_110_SPD_0240_YAF</t>
  </si>
  <si>
    <t>PL2_4228_321_BLR_0243_YAF</t>
  </si>
  <si>
    <t>PL2_4228_321_BLR_0243_YAE</t>
  </si>
  <si>
    <t>PL2_4228_110_VFD_0250_YAF</t>
  </si>
  <si>
    <t>PL2_4228_110_LVSP_0250_YAF</t>
  </si>
  <si>
    <t>PL2_4228_321_BLR_0253_YAF</t>
  </si>
  <si>
    <t>PL2_4228_321_BLR_0253_YAE</t>
  </si>
  <si>
    <t>PL2_4228_110_UPS_0260_YAF</t>
  </si>
  <si>
    <t>PL2_4228_110_UPS_0260_JSB</t>
  </si>
  <si>
    <t>PL2_4228_110_VFD_0260_YAF</t>
  </si>
  <si>
    <t>PL2_4228_110_LVSP_0260_YAF</t>
  </si>
  <si>
    <t>PL2_4228_110_SPD_0260_YAF</t>
  </si>
  <si>
    <t>PL2_4228_321_BLR_0263_YAF</t>
  </si>
  <si>
    <t>PL2_4228_321_BLR_0263_YAE</t>
  </si>
  <si>
    <t>PL2_4228_110_VFD_0270_YAF</t>
  </si>
  <si>
    <t>PL2_4228_110_LVSP_0270_YAF</t>
  </si>
  <si>
    <t>PL2_4228_321_BLR_0273_YAF</t>
  </si>
  <si>
    <t>PL2_4228_321_BLR_0273_YAE</t>
  </si>
  <si>
    <t>PL2_4228_110_UPS_0280_YAF</t>
  </si>
  <si>
    <t>PL2_4228_110_UPS_0280_JSB</t>
  </si>
  <si>
    <t>PL2_4228_110_VFD_0280_YAF</t>
  </si>
  <si>
    <t>PL2_4228_110_LVSP_0280_YAF</t>
  </si>
  <si>
    <t>PL2_4228_110_SPD_0280_YAF</t>
  </si>
  <si>
    <t>PL2_4228_321_BLR_0283_YAF</t>
  </si>
  <si>
    <t>PL2_4228_321_BLR_0283_YAE</t>
  </si>
  <si>
    <t>LVSP Fault</t>
  </si>
  <si>
    <t>PL2_4228_110_VFD_0210_YAF</t>
  </si>
  <si>
    <t>PL2_4228_110_LVSP_0210_YAF</t>
  </si>
  <si>
    <t>UPS Alarm</t>
  </si>
  <si>
    <t>UPS On Battery</t>
  </si>
  <si>
    <t>SPD Fault</t>
  </si>
  <si>
    <t xml:space="preserve">BNR Blower No. 1 </t>
  </si>
  <si>
    <t xml:space="preserve">BNR Blower No. 2 </t>
  </si>
  <si>
    <t xml:space="preserve">BNR Blower No. 3 </t>
  </si>
  <si>
    <t xml:space="preserve">BNR Blower No. 4 </t>
  </si>
  <si>
    <t>PL2_4228_321_BLR_0213_SI</t>
  </si>
  <si>
    <t>PL2_4228_321_BLR_0223_SI</t>
  </si>
  <si>
    <t>PL2_4228_321_BLR_0233_SI</t>
  </si>
  <si>
    <t>PL2_4228_321_BLR_0243_SI</t>
  </si>
  <si>
    <t>PL2_4228_321_BLR_0253_SI</t>
  </si>
  <si>
    <t>PL2_4228_321_BLR_0263_SI</t>
  </si>
  <si>
    <t>PL2_4228_321_BLR_0273_SI</t>
  </si>
  <si>
    <t>PL2_4228_321_BLR_0283_SI</t>
  </si>
  <si>
    <t>Speed Setpoint</t>
  </si>
  <si>
    <t>CONCAT("Channel ", D7, " - ", IF(ISBLANK(F7), " ", CONCAT(F7, " - ", IF(ISBLANK(G7), " ", CONCAT(G7, " ", IF(ISBLANK(H7), " ", CONCAT(H7, " ", IF(ISBLANK(I7), " ", I7))))))), CHAR(10))</t>
  </si>
  <si>
    <t>CONCAT("*************************************************************", CHAR(10), "Rack ", IF(ISNUMBER(B7), B7, 1), " Slot ", C7, " - ",
IF(E7="DI", "Digital Inputs", IF(E7="DO", "Digital Outputs", IF(E7="AI", "Analog Inputs", IF(E7="AO", "Analog Outputs", "Unknown")))), CHAR(10), "*************************************************************", CHAR(10),
O7:O20)</t>
  </si>
  <si>
    <t>Universal</t>
  </si>
  <si>
    <t>Channel</t>
  </si>
  <si>
    <t>Description</t>
  </si>
  <si>
    <t>PL2_4227_235_PMP_022_YCI</t>
  </si>
  <si>
    <t>ai</t>
  </si>
  <si>
    <t>BNR Grid 1-1</t>
  </si>
  <si>
    <t>Flow</t>
  </si>
  <si>
    <t>BNR Grid 1-2</t>
  </si>
  <si>
    <t>BNR Grid 1-3</t>
  </si>
  <si>
    <t>BNR Grid 1-4</t>
  </si>
  <si>
    <t>BNR Grid 1-5</t>
  </si>
  <si>
    <t>BNR Grid 2-2</t>
  </si>
  <si>
    <t>BNR Grid 2-3</t>
  </si>
  <si>
    <t>BNR Grid 2-4</t>
  </si>
  <si>
    <t>BNR Grid 2-5</t>
  </si>
  <si>
    <t>BNR Grid 2-1</t>
  </si>
  <si>
    <t>BNR Grid 3-1</t>
  </si>
  <si>
    <t>BNR Grid 3-2</t>
  </si>
  <si>
    <t>BNR Grid 3-3</t>
  </si>
  <si>
    <t>BNR Grid 3-4</t>
  </si>
  <si>
    <t>BNR Grid 3-5</t>
  </si>
  <si>
    <t>BNR Grid 1-1 Flow</t>
  </si>
  <si>
    <t>BNR Grid 1-2 Flow</t>
  </si>
  <si>
    <t>BNR Grid 1-3 Flow</t>
  </si>
  <si>
    <t>BNR Grid 1-4 Flow</t>
  </si>
  <si>
    <t>BNR Grid 1-5 Flow</t>
  </si>
  <si>
    <t>BNR Grid 2-1 Flow</t>
  </si>
  <si>
    <t>BNR Grid 2-2 Flow</t>
  </si>
  <si>
    <t>BNR Grid 2-3 Flow</t>
  </si>
  <si>
    <t>BNR Grid 2-4 Flow</t>
  </si>
  <si>
    <t>BNR Grid 2-5 Flow</t>
  </si>
  <si>
    <t>BNR Grid 3-1 Flow</t>
  </si>
  <si>
    <t>BNR Grid 3-2 Flow</t>
  </si>
  <si>
    <t>BNR Grid 3-3 Flow</t>
  </si>
  <si>
    <t>BNR Grid 3-4 Flow</t>
  </si>
  <si>
    <t>BNR Grid 3-5 Flow</t>
  </si>
  <si>
    <t>0132</t>
  </si>
  <si>
    <t>0134</t>
  </si>
  <si>
    <t>0142</t>
  </si>
  <si>
    <t>0144</t>
  </si>
  <si>
    <t>0152</t>
  </si>
  <si>
    <t>0154</t>
  </si>
  <si>
    <t>VLV</t>
  </si>
  <si>
    <t>052</t>
  </si>
  <si>
    <t>BNR Grid 1-3 Flow Control Valve</t>
  </si>
  <si>
    <t>BNR Grid 1-5 Flow Control Valve</t>
  </si>
  <si>
    <t>BNR Grid 2-1 Flow Control Valve</t>
  </si>
  <si>
    <t>BNR Grid 2-3 Flow Control Valve</t>
  </si>
  <si>
    <t>BNR Grid 2-5 Flow Control Valve</t>
  </si>
  <si>
    <t>BNR Grid 3-1 Flow Control Valve</t>
  </si>
  <si>
    <t>BNR Grid 3-3 Flow Control Valve</t>
  </si>
  <si>
    <t>BNR Grid 3-5 Flow Control Valve</t>
  </si>
  <si>
    <t>BNR Grid 1-1 Flow Control Valve</t>
  </si>
  <si>
    <t>fbValve</t>
  </si>
  <si>
    <t>BNR Grid 1-2 Flow Control Valve</t>
  </si>
  <si>
    <t>BNR Grid 1-4 Flow Control Valve</t>
  </si>
  <si>
    <t>BNR Grid 2-2 Flow Control Valve</t>
  </si>
  <si>
    <t>BNR Grid 2-4 Flow Control Valve</t>
  </si>
  <si>
    <t>BNR Grid 3-2 Flow Control Valve</t>
  </si>
  <si>
    <t>BNR Grid 3-4 Flow Control Valve</t>
  </si>
  <si>
    <t>Position</t>
  </si>
  <si>
    <t>ZI</t>
  </si>
  <si>
    <t>BNR Grid 1-1 Flow Meter LOS</t>
  </si>
  <si>
    <t>BNR Grid 1-2 Flow Meter LOS</t>
  </si>
  <si>
    <t>BNR Grid 1-3 Flow Meter LOS</t>
  </si>
  <si>
    <t>BNR Grid 1-4 Flow Meter LOS</t>
  </si>
  <si>
    <t>BNR Grid 1-5 Flow Meter LOS</t>
  </si>
  <si>
    <t>BNR Grid 2-1 Flow Meter LOS</t>
  </si>
  <si>
    <t>BNR Grid 2-2 Flow Meter LOS</t>
  </si>
  <si>
    <t>BNR Grid 2-3 Flow Meter LOS</t>
  </si>
  <si>
    <t>BNR Grid 2-4 Flow Meter LOS</t>
  </si>
  <si>
    <t>BNR Grid 2-5 Flow Meter LOS</t>
  </si>
  <si>
    <t>BNR Grid 3-1 Flow Meter LOS</t>
  </si>
  <si>
    <t>BNR Grid 3-2 Flow Meter LOS</t>
  </si>
  <si>
    <t>BNR Grid 3-3 Flow Meter LOS</t>
  </si>
  <si>
    <t>BNR Grid 3-4 Flow Meter LOS</t>
  </si>
  <si>
    <t>BNR Grid 3-5 Flow Meter LOS</t>
  </si>
  <si>
    <t>LOS</t>
  </si>
  <si>
    <t>PL2_4227_052_VLV_0131_ZI</t>
  </si>
  <si>
    <t>PL2_4227_052_VLV_0132_ZI</t>
  </si>
  <si>
    <t>PL2_4227_052_VLV_0133_ZI</t>
  </si>
  <si>
    <t>PL2_4227_052_VLV_0134_ZI</t>
  </si>
  <si>
    <t>PL2_4227_052_VLV_0135_ZI</t>
  </si>
  <si>
    <t>PL2_4227_052_VLV_0141_ZI</t>
  </si>
  <si>
    <t>PL2_4227_052_VLV_0142_ZI</t>
  </si>
  <si>
    <t>PL2_4227_052_VLV_0143_ZI</t>
  </si>
  <si>
    <t>PL2_4227_052_VLV_0144_ZI</t>
  </si>
  <si>
    <t>PL2_4227_052_VLV_0145_ZI</t>
  </si>
  <si>
    <t>PL2_4227_052_VLV_0151_ZI</t>
  </si>
  <si>
    <t>PL2_4227_052_VLV_0152_ZI</t>
  </si>
  <si>
    <t>PL2_4227_052_VLV_0153_ZI</t>
  </si>
  <si>
    <t>PL2_4227_052_VLV_0154_ZI</t>
  </si>
  <si>
    <t>PL2_4227_052_VLV_0155_ZI</t>
  </si>
  <si>
    <t>PL2_4227_498_FIT_0132</t>
  </si>
  <si>
    <t>PL2_4227_498_FIT_0133</t>
  </si>
  <si>
    <t>PL2_4227_498_FIT_0134</t>
  </si>
  <si>
    <t>PL2_4227_498_FIT_0135</t>
  </si>
  <si>
    <t>PL2_4227_498_FIT_0141</t>
  </si>
  <si>
    <t>PL2_4227_498_FIT_0142</t>
  </si>
  <si>
    <t>PL2_4227_498_FIT_0143</t>
  </si>
  <si>
    <t>PL2_4227_498_FIT_0144</t>
  </si>
  <si>
    <t>PL2_4227_498_FIT_0145</t>
  </si>
  <si>
    <t>PL2_4227_498_FIT_0151</t>
  </si>
  <si>
    <t>PL2_4227_498_FIT_0152</t>
  </si>
  <si>
    <t>PL2_4227_498_FIT_0153</t>
  </si>
  <si>
    <t>PL2_4227_498_FIT_0154</t>
  </si>
  <si>
    <t>PL2_4227_498_FIT_0155</t>
  </si>
  <si>
    <t>PL2_4227_498_FIT_0131</t>
  </si>
  <si>
    <t>ZC</t>
  </si>
  <si>
    <t>BNR Grid 1-1 Flow Control Valve Position Feedback</t>
  </si>
  <si>
    <t>BNR Grid 1-3 Flow Control Valve Position Feedback</t>
  </si>
  <si>
    <t>BNR Grid 1-4 Flow Control Valve Position Feedback</t>
  </si>
  <si>
    <t>BNR Grid 1-5 Flow Control Valve Position Feedback</t>
  </si>
  <si>
    <t>BNR Grid 2-1 Flow Control Valve Position Feedback</t>
  </si>
  <si>
    <t>BNR Grid 2-2 Flow Control Valve Position Feedback</t>
  </si>
  <si>
    <t>BNR Grid 2-3 Flow Control Valve Position Feedback</t>
  </si>
  <si>
    <t>BNR Grid 2-4 Flow Control Valve Position Feedback</t>
  </si>
  <si>
    <t>BNR Grid 2-5 Flow Control Valve Position Feedback</t>
  </si>
  <si>
    <t>BNR Grid 3-1 Flow Control Valve Position Feedback</t>
  </si>
  <si>
    <t>BNR Grid 3-2 Flow Control Valve Position Feedback</t>
  </si>
  <si>
    <t>BNR Grid 3-3 Flow Control Valve Position Feedback</t>
  </si>
  <si>
    <t>BNR Grid 3-4 Flow Control Valve Position Feedback</t>
  </si>
  <si>
    <t>BNR Grid 3-5 Flow Control Valve Position Feedback</t>
  </si>
  <si>
    <t>BNR Grid 1-2 Flow Control Valve Position Feedback</t>
  </si>
  <si>
    <t>BNR Grid 1-2 Flow Control Valve Position Command</t>
  </si>
  <si>
    <t>BNR Grid 1-3 Flow Control Valve Position Command</t>
  </si>
  <si>
    <t>BNR Grid 1-4 Flow Control Valve Position Command</t>
  </si>
  <si>
    <t>BNR Grid 1-5 Flow Control Valve Position Command</t>
  </si>
  <si>
    <t>BNR Grid 2-1 Flow Control Valve Position Command</t>
  </si>
  <si>
    <t>BNR Grid 2-2 Flow Control Valve Position Command</t>
  </si>
  <si>
    <t>BNR Grid 2-3 Flow Control Valve Position Command</t>
  </si>
  <si>
    <t>BNR Grid 2-4 Flow Control Valve Position Command</t>
  </si>
  <si>
    <t>BNR Grid 2-5 Flow Control Valve Position Command</t>
  </si>
  <si>
    <t>BNR Grid 3-1 Flow Control Valve Position Command</t>
  </si>
  <si>
    <t>BNR Grid 3-2 Flow Control Valve Position Command</t>
  </si>
  <si>
    <t>BNR Grid 3-3 Flow Control Valve Position Command</t>
  </si>
  <si>
    <t>BNR Grid 3-4 Flow Control Valve Position Command</t>
  </si>
  <si>
    <t>BNR Grid 3-5 Flow Control Valve Position Command</t>
  </si>
  <si>
    <t>BNR Grid 1-1 Flow Control Valve Position Command</t>
  </si>
  <si>
    <t>Loss of Signal</t>
  </si>
  <si>
    <t>BNR Grid 1-2 Flow Meter</t>
  </si>
  <si>
    <t>BNR Grid 1-3 Flow Meter</t>
  </si>
  <si>
    <t>BNR Grid 1-4 Flow Meter</t>
  </si>
  <si>
    <t>BNR Grid 1-5 Flow Meter</t>
  </si>
  <si>
    <t>BNR Grid 2-1 Flow Meter</t>
  </si>
  <si>
    <t>BNR Grid 2-2 Flow Meter</t>
  </si>
  <si>
    <t>BNR Grid 2-3 Flow Meter</t>
  </si>
  <si>
    <t>BNR Grid 2-4 Flow Meter</t>
  </si>
  <si>
    <t>BNR Grid 2-5 Flow Meter</t>
  </si>
  <si>
    <t>BNR Grid 3-1 Flow Meter</t>
  </si>
  <si>
    <t>BNR Grid 3-2 Flow Meter</t>
  </si>
  <si>
    <t>BNR Grid 3-3 Flow Meter</t>
  </si>
  <si>
    <t>BNR Grid 3-4 Flow Meter</t>
  </si>
  <si>
    <t>BNR Grid 3-5 Flow Meter</t>
  </si>
  <si>
    <t>BNR Grid 1-1 Flow Meter</t>
  </si>
  <si>
    <t>PL2_4227_498_FIT_0131_LOS</t>
  </si>
  <si>
    <t>PL2_4227_498_FIT_0132_LOS</t>
  </si>
  <si>
    <t>PL2_4227_498_FIT_0133_LOS</t>
  </si>
  <si>
    <t>PL2_4227_498_FIT_0134_LOS</t>
  </si>
  <si>
    <t>PL2_4227_498_FIT_0135_LOS</t>
  </si>
  <si>
    <t>PL2_4227_498_FIT_0141_LOS</t>
  </si>
  <si>
    <t>PL2_4227_498_FIT_0142_LOS</t>
  </si>
  <si>
    <t>PL2_4227_498_FIT_0143_LOS</t>
  </si>
  <si>
    <t>PL2_4227_498_FIT_0144_LOS</t>
  </si>
  <si>
    <t>PL2_4227_498_FIT_0145_LOS</t>
  </si>
  <si>
    <t>PL2_4227_498_FIT_0151_LOS</t>
  </si>
  <si>
    <t>PL2_4227_498_FIT_0152_LOS</t>
  </si>
  <si>
    <t>PL2_4227_498_FIT_0153_LOS</t>
  </si>
  <si>
    <t>PL2_4227_498_FIT_0154_LOS</t>
  </si>
  <si>
    <t>PL2_4227_498_FIT_0155_LOS</t>
  </si>
  <si>
    <t>PL2_4227_052_VLV_0132_YCI</t>
  </si>
  <si>
    <t>PL2_4227_052_VLV_0133_YCI</t>
  </si>
  <si>
    <t>PL2_4227_052_VLV_0134_YCI</t>
  </si>
  <si>
    <t>PL2_4227_052_VLV_0135_YCI</t>
  </si>
  <si>
    <t>PL2_4227_052_VLV_0141_YCI</t>
  </si>
  <si>
    <t>PL2_4227_052_VLV_0142_YCI</t>
  </si>
  <si>
    <t>PL2_4227_052_VLV_0143_YCI</t>
  </si>
  <si>
    <t>PL2_4227_052_VLV_0144_YCI</t>
  </si>
  <si>
    <t>PL2_4227_052_VLV_0145_YCI</t>
  </si>
  <si>
    <t>PL2_4227_052_VLV_0151_YCI</t>
  </si>
  <si>
    <t>PL2_4227_052_VLV_0152_YCI</t>
  </si>
  <si>
    <t>PL2_4227_052_VLV_0153_YCI</t>
  </si>
  <si>
    <t>PL2_4227_052_VLV_0154_YCI</t>
  </si>
  <si>
    <t>PL2_4227_052_VLV_0155_YCI</t>
  </si>
  <si>
    <t>PL2_4227_052_VLV_0131_YCI</t>
  </si>
  <si>
    <t>BNR Grid 1-2 Flow Control Valve In Remote</t>
  </si>
  <si>
    <t>BNR Grid 1-3 Flow Control Valve In Remote</t>
  </si>
  <si>
    <t>BNR Grid 1-4 Flow Control Valve In Remote</t>
  </si>
  <si>
    <t>BNR Grid 1-5 Flow Control Valve In Remote</t>
  </si>
  <si>
    <t>BNR Grid 2-1 Flow Control Valve In Remote</t>
  </si>
  <si>
    <t>BNR Grid 2-2 Flow Control Valve In Remote</t>
  </si>
  <si>
    <t>BNR Grid 2-3 Flow Control Valve In Remote</t>
  </si>
  <si>
    <t>BNR Grid 2-4 Flow Control Valve In Remote</t>
  </si>
  <si>
    <t>BNR Grid 2-5 Flow Control Valve In Remote</t>
  </si>
  <si>
    <t>BNR Grid 3-1 Flow Control Valve In Remote</t>
  </si>
  <si>
    <t>BNR Grid 3-2 Flow Control Valve In Remote</t>
  </si>
  <si>
    <t>BNR Grid 3-3 Flow Control Valve In Remote</t>
  </si>
  <si>
    <t>BNR Grid 3-4 Flow Control Valve In Remote</t>
  </si>
  <si>
    <t>BNR Grid 3-5 Flow Control Valve In Remote</t>
  </si>
  <si>
    <t>BNR Grid 1-1 Flow Control Valve In Remote</t>
  </si>
  <si>
    <t>PL2_4228_321_BLR_0220_SC</t>
  </si>
  <si>
    <t>PL2_4228_321_BLR_0240_SC</t>
  </si>
  <si>
    <t>PL2_4228_321_BLR_0260_SC</t>
  </si>
  <si>
    <t>PL2_4228_321_BLR_0280_SC</t>
  </si>
  <si>
    <t>BNR Blower No. 1 Speed Setpoint</t>
  </si>
  <si>
    <t>BNR Blower No. 2 Speed Setpoint</t>
  </si>
  <si>
    <t>BNR Blower No. 4 Speed Setpoint</t>
  </si>
  <si>
    <t>BNR Blower No. 3 Speed Setpoint</t>
  </si>
  <si>
    <t>BNR Blower No. 1 Start / Stop Command</t>
  </si>
  <si>
    <t>BNR Blower No. 2 Start / Stop Command</t>
  </si>
  <si>
    <t>BNR Blower No. 3 Start / Stop Command</t>
  </si>
  <si>
    <t>BNR Blower No. 4 Start / Stop Command</t>
  </si>
  <si>
    <t>PL2_4228_321_BLR_0280_HSS</t>
  </si>
  <si>
    <t>PL2_4228_321_BLR_0260_HSS</t>
  </si>
  <si>
    <t>PL2_4228_321_BLR_0240_HSS</t>
  </si>
  <si>
    <t>PL2_4228_321_BLR_0220_HSS</t>
  </si>
  <si>
    <t>PL2_4228_498_FIT_0001</t>
  </si>
  <si>
    <t>PL2_4227_498_PIT_0002</t>
  </si>
  <si>
    <t>Pressure</t>
  </si>
  <si>
    <t>BNR Blowers Discharge Header</t>
  </si>
  <si>
    <t>0001</t>
  </si>
  <si>
    <t>0002</t>
  </si>
  <si>
    <t>PIT</t>
  </si>
  <si>
    <t>BNR Blowers Discharge Header Flow</t>
  </si>
  <si>
    <t>BNR Blowers Discharge Header Pressure</t>
  </si>
  <si>
    <t>Discharge Pressure</t>
  </si>
  <si>
    <t>0215</t>
  </si>
  <si>
    <t>0285</t>
  </si>
  <si>
    <t>0275</t>
  </si>
  <si>
    <t>0265</t>
  </si>
  <si>
    <t>0255</t>
  </si>
  <si>
    <t>0245</t>
  </si>
  <si>
    <t>0235</t>
  </si>
  <si>
    <t>0225</t>
  </si>
  <si>
    <t>BNR Blower No. 1 Core 1 Discharge Pressure</t>
  </si>
  <si>
    <t>BNR Blower No. 1 Core 2 Discharge Pressure</t>
  </si>
  <si>
    <t>BNR Blower No. 2 Core 1 Discharge Pressure</t>
  </si>
  <si>
    <t>BNR Blower No. 2 Core 2 Discharge Pressure</t>
  </si>
  <si>
    <t>BNR Blower No. 3 Core 1 Discharge Pressure</t>
  </si>
  <si>
    <t>BNR Blower No. 3 Core 2 Discharge Pressure</t>
  </si>
  <si>
    <t>BNR Blower No. 4 Core 1 Discharge Pressure</t>
  </si>
  <si>
    <t>BNR Blower No. 4 Core 2 Discharge Pressure</t>
  </si>
  <si>
    <t>PL2_4228_452_PIT_0215</t>
  </si>
  <si>
    <t>PL2_4228_452_PIT_0225</t>
  </si>
  <si>
    <t>PL2_4228_452_PIT_0235</t>
  </si>
  <si>
    <t>PL2_4228_452_PIT_0245</t>
  </si>
  <si>
    <t>PL2_4228_452_PIT_0255</t>
  </si>
  <si>
    <t>PL2_4228_452_PIT_0265</t>
  </si>
  <si>
    <t>PL2_4228_452_PIT_0275</t>
  </si>
  <si>
    <t>PL2_4228_452_PIT_0285</t>
  </si>
  <si>
    <t>BNR Blower No. 1 Core 1 High Discharge Pressure</t>
  </si>
  <si>
    <t>BNR Blower No. 1 Core 2 High Discharge Pressure</t>
  </si>
  <si>
    <t>BNR Blower No. 2 Core 1 High Discharge Pressure</t>
  </si>
  <si>
    <t>BNR Blower No. 2 Core 2 High Discharge Pressure</t>
  </si>
  <si>
    <t>BNR Blower No. 3 Core 1 High Discharge Pressure</t>
  </si>
  <si>
    <t>BNR Blower No. 3 Core 2 High Discharge Pressure</t>
  </si>
  <si>
    <t>BNR Blower No. 4 Core 1 High Discharge Pressure</t>
  </si>
  <si>
    <t>BNR Blower No. 4 Core 2 High Discharge Pressure</t>
  </si>
  <si>
    <t>PAH</t>
  </si>
  <si>
    <t>PAL</t>
  </si>
  <si>
    <t>BNR Blower No. 1 Core 2 Low Discharge Pressure</t>
  </si>
  <si>
    <t>BNR Blower No. 2 Core 1 Low Discharge Pressure</t>
  </si>
  <si>
    <t>BNR Blower No. 2 Core 2 Low Discharge Pressure</t>
  </si>
  <si>
    <t>BNR Blower No. 3 Core 1 Low Discharge Pressure</t>
  </si>
  <si>
    <t>BNR Blower No. 3 Core 2 Low Discharge Pressure</t>
  </si>
  <si>
    <t>BNR Blower No. 4 Core 1 Low Discharge Pressure</t>
  </si>
  <si>
    <t>BNR Blower No. 4 Core 2 Low Discharge Pressure</t>
  </si>
  <si>
    <t>BNR Blower No. 1 Core 1 Low Discharge Pressure</t>
  </si>
  <si>
    <t>BNR Blower Discharge Header High Pressure</t>
  </si>
  <si>
    <t>BNR Blower Discharge Header Low Pressure</t>
  </si>
  <si>
    <t>PL2_4228_452_PIT_0002_PAH</t>
  </si>
  <si>
    <t>PL2_4228_452_PIT_0002_PAL</t>
  </si>
  <si>
    <t>FAH</t>
  </si>
  <si>
    <t>FAL</t>
  </si>
  <si>
    <t>BNR Blower Discharge Header High Flow</t>
  </si>
  <si>
    <t>BNR Blower Discharge Header Low Flow</t>
  </si>
  <si>
    <t>BNR Grid 1-1 High Air Flow</t>
  </si>
  <si>
    <t>BNR Grid 3-5 High Air Flow</t>
  </si>
  <si>
    <t>BNR Grid 3-4 High Air Flow</t>
  </si>
  <si>
    <t>BNR Grid 3-3 High Air Flow</t>
  </si>
  <si>
    <t>BNR Grid 3-2 High Air Flow</t>
  </si>
  <si>
    <t>BNR Grid 3-1 High Air Flow</t>
  </si>
  <si>
    <t>BNR Grid 2-5 High Air Flow</t>
  </si>
  <si>
    <t>BNR Grid 2-4 High Air Flow</t>
  </si>
  <si>
    <t>BNR Grid 2-3 High Air Flow</t>
  </si>
  <si>
    <t>BNR Grid 2-2 High Air Flow</t>
  </si>
  <si>
    <t>BNR Grid 2-1 High Air Flow</t>
  </si>
  <si>
    <t>BNR Grid 1-5 High Air Flow</t>
  </si>
  <si>
    <t>BNR Grid 1-4 High Air Flow</t>
  </si>
  <si>
    <t>BNR Grid 1-3 High Air Flow</t>
  </si>
  <si>
    <t>BNR Grid 1-2 High Air Flow</t>
  </si>
  <si>
    <t>BNR Grid 1-2 Low Air Flow</t>
  </si>
  <si>
    <t>BNR Grid 1-3 Low Air Flow</t>
  </si>
  <si>
    <t>BNR Grid 1-4 Low Air Flow</t>
  </si>
  <si>
    <t>BNR Grid 1-5 Low Air Flow</t>
  </si>
  <si>
    <t>BNR Grid 2-1 Low Air Flow</t>
  </si>
  <si>
    <t>BNR Grid 2-2 Low Air Flow</t>
  </si>
  <si>
    <t>BNR Grid 2-3 Low Air Flow</t>
  </si>
  <si>
    <t>BNR Grid 2-4 Low Air Flow</t>
  </si>
  <si>
    <t>BNR Grid 2-5 Low Air Flow</t>
  </si>
  <si>
    <t>BNR Grid 3-1 Low Air Flow</t>
  </si>
  <si>
    <t>BNR Grid 3-2 Low Air Flow</t>
  </si>
  <si>
    <t>BNR Grid 3-3 Low Air Flow</t>
  </si>
  <si>
    <t>BNR Grid 3-4 Low Air Flow</t>
  </si>
  <si>
    <t>BNR Grid 3-5 Low Air Flow</t>
  </si>
  <si>
    <t>BNR Grid 1-1 Low Air Flow</t>
  </si>
  <si>
    <t>PL2_4228_452_PIT_0215_PAH</t>
  </si>
  <si>
    <t>PL2_4228_452_PIT_0225_PAH</t>
  </si>
  <si>
    <t>PL2_4228_452_PIT_0235_PAH</t>
  </si>
  <si>
    <t>PL2_4228_452_PIT_0245_PAH</t>
  </si>
  <si>
    <t>PL2_4228_452_PIT_0255_PAH</t>
  </si>
  <si>
    <t>PL2_4228_452_PIT_0265_PAH</t>
  </si>
  <si>
    <t>PL2_4228_452_PIT_0275_PAH</t>
  </si>
  <si>
    <t>PL2_4228_452_PIT_0285_PAH</t>
  </si>
  <si>
    <t>PL2_4228_452_PIT_0215_PAL</t>
  </si>
  <si>
    <t>PL2_4228_452_PIT_0225_PAL</t>
  </si>
  <si>
    <t>PL2_4228_452_PIT_0235_PAL</t>
  </si>
  <si>
    <t>PL2_4228_452_PIT_0245_PAL</t>
  </si>
  <si>
    <t>PL2_4228_452_PIT_0255_PAL</t>
  </si>
  <si>
    <t>PL2_4228_452_PIT_0265_PAL</t>
  </si>
  <si>
    <t>PL2_4228_452_PIT_0275_PAL</t>
  </si>
  <si>
    <t>PL2_4228_452_PIT_0285_PAL</t>
  </si>
  <si>
    <t>High Discharge Pressure</t>
  </si>
  <si>
    <t>Low Discharge Pressure</t>
  </si>
  <si>
    <t>High Pressure</t>
  </si>
  <si>
    <t>Low Pressure</t>
  </si>
  <si>
    <t>PL2_4228_452_FIT_0001_FAH</t>
  </si>
  <si>
    <t>PL2_4228_452_FIT_0001_FAL</t>
  </si>
  <si>
    <t>High Flow</t>
  </si>
  <si>
    <t>Low Flow</t>
  </si>
  <si>
    <t>PL2_4227_433_AIT_0131_DO</t>
  </si>
  <si>
    <t>PL2_4227_433_AIT_0133_DO</t>
  </si>
  <si>
    <t>PL2_4227_433_AIT_0135_DO</t>
  </si>
  <si>
    <t>PL2_4227_433_AIT_0141_DO</t>
  </si>
  <si>
    <t>PL2_4227_433_AIT_0143_DO</t>
  </si>
  <si>
    <t>PL2_4227_433_AIT_0145_DO</t>
  </si>
  <si>
    <t>PL2_4227_433_AIT_0151_DO</t>
  </si>
  <si>
    <t>PL2_4227_433_AIT_0153_DO</t>
  </si>
  <si>
    <t>PL2_4227_433_AIT_0155_DO</t>
  </si>
  <si>
    <t>BNR Train No. 1 Post Grid 3</t>
  </si>
  <si>
    <t>BNR Train No. 1 Post Grid 5</t>
  </si>
  <si>
    <t>BNR Train No. 2 Post Grid 1</t>
  </si>
  <si>
    <t>BNR Train No. 2 Post Grid 3</t>
  </si>
  <si>
    <t>BNR Train No. 2 Post Grid 5</t>
  </si>
  <si>
    <t>BNR Train No. 3 Post Grid 1</t>
  </si>
  <si>
    <t>BNR Train No. 3 Post Grid 3</t>
  </si>
  <si>
    <t>BNR Train No. 3 Post Grid 5</t>
  </si>
  <si>
    <t>BNR Train No. 1 Post Grid 1</t>
  </si>
  <si>
    <t>Dissolved Oxygen</t>
  </si>
  <si>
    <t>High Dissolved Oxygen</t>
  </si>
  <si>
    <t>Low Dissolved Oxygen</t>
  </si>
  <si>
    <t>PL2_4227_433_AIT_0133_AAH</t>
  </si>
  <si>
    <t>PL2_4227_433_AIT_0135_AAH</t>
  </si>
  <si>
    <t>PL2_4227_433_AIT_0141_AAH</t>
  </si>
  <si>
    <t>PL2_4227_433_AIT_0143_AAH</t>
  </si>
  <si>
    <t>PL2_4227_433_AIT_0145_AAH</t>
  </si>
  <si>
    <t>PL2_4227_433_AIT_0151_AAH</t>
  </si>
  <si>
    <t>PL2_4227_433_AIT_0153_AAH</t>
  </si>
  <si>
    <t>PL2_4227_433_AIT_0155_AAH</t>
  </si>
  <si>
    <t>PL2_4227_433_AIT_0131_AAH</t>
  </si>
  <si>
    <t>PL2_4227_433_AIT_0133_AAL</t>
  </si>
  <si>
    <t>PL2_4227_433_AIT_0135_AAL</t>
  </si>
  <si>
    <t>PL2_4227_433_AIT_0141_AAL</t>
  </si>
  <si>
    <t>PL2_4227_433_AIT_0143_AAL</t>
  </si>
  <si>
    <t>PL2_4227_433_AIT_0145_AAL</t>
  </si>
  <si>
    <t>PL2_4227_433_AIT_0151_AAL</t>
  </si>
  <si>
    <t>PL2_4227_433_AIT_0153_AAL</t>
  </si>
  <si>
    <t>PL2_4227_433_AIT_0155_AAL</t>
  </si>
  <si>
    <t>PL2_4227_433_AIT_0131_AAL</t>
  </si>
  <si>
    <t>fbDigital PL2_4228_452_PIT_0002_PAH PL2_4228_452_PIT_0002_PAH.i_Raw fbDigital PL2_4228_452_PIT_0002_PAL PL2_4228_452_PIT_0002_PAL.i_Raw</t>
  </si>
  <si>
    <t>fbDigital PL2_4228_452_FIT_0001_FAH PL2_4228_452_FIT_0001_FAH.i_Raw fbDigital PL2_4228_452_FIT_0001_FAL PL2_4228_452_FIT_0001_FAL.i_Raw</t>
  </si>
  <si>
    <t>fbDigital PL2_4227_433_AIT_0131_AAH PL2_4227_433_AIT_0131_AAH.i_Raw fbDigital PL2_4227_433_AIT_0133_AAH PL2_4227_433_AIT_0133_AAH.i_Raw fbDigital PL2_4227_433_AIT_0135_AAH PL2_4227_433_AIT_0135_AAH.i_Raw</t>
  </si>
  <si>
    <t>fbDigital PL2_4227_433_AIT_0141_AAH PL2_4227_433_AIT_0141_AAH.i_Raw fbDigital PL2_4227_433_AIT_0143_AAH PL2_4227_433_AIT_0143_AAH.i_Raw fbDigital PL2_4227_433_AIT_0145_AAH PL2_4227_433_AIT_0145_AAH.i_Raw</t>
  </si>
  <si>
    <t>fbDigital PL2_4227_433_AIT_0151_AAH PL2_4227_433_AIT_0151_AAH.i_Raw fbDigital PL2_4227_433_AIT_0153_AAH PL2_4227_433_AIT_0153_AAH.i_Raw fbDigital PL2_4227_433_AIT_0155_AAH PL2_4227_433_AIT_0155_AAH.i_Raw</t>
  </si>
  <si>
    <t>fbDigital PL2_4227_433_AIT_0131_AAL PL2_4227_433_AIT_0131_AAL.i_Raw fbDigital PL2_4227_433_AIT_0133_AAL PL2_4227_433_AIT_0133_AAL.i_Raw fbDigital PL2_4227_433_AIT_0135_AAL PL2_4227_433_AIT_0135_AAL.i_Raw</t>
  </si>
  <si>
    <t>fbDigital PL2_4227_433_AIT_0141_AAL PL2_4227_433_AIT_0141_AAL.i_Raw fbDigital PL2_4227_433_AIT_0143_AAL PL2_4227_433_AIT_0143_AAL.i_Raw fbDigital PL2_4227_433_AIT_0145_AAL PL2_4227_433_AIT_0145_AAL.i_Raw</t>
  </si>
  <si>
    <t>fbDigital PL2_4227_433_AIT_0151_AAL PL2_4227_433_AIT_0151_AAL.i_Raw fbDigital PL2_4227_433_AIT_0153_AAL PL2_4227_433_AIT_0153_AAL.i_Raw fbDigital PL2_4227_433_AIT_0155_AAL PL2_4227_433_AIT_0155_AAL.i_Raw</t>
  </si>
  <si>
    <t>fbDigital PL2_4227_052_VLV_0131_ZAH PL2_4227_052_VLV_0131_ZAH.i_Raw fbDigital PL2_4227_052_VLV_0132_ZAH PL2_4227_052_VLV_0132_ZAH.i_Raw fbDigital PL2_4227_052_VLV_0133_ZAH PL2_4227_052_VLV_0133_ZAH.i_Raw fbDigital PL2_4227_052_VLV_0134_ZAH PL2_4227_052_VLV_0134_ZAH.i_Raw fbDigital PL2_4227_052_VLV_0135_ZAH PL2_4227_052_VLV_0135_ZAH.i_Raw</t>
  </si>
  <si>
    <t>fbDigital PL2_4227_052_VLV_0141_ZAH PL2_4227_052_VLV_0141_ZAH.i_Raw fbDigital PL2_4227_052_VLV_0142_ZAH PL2_4227_052_VLV_0142_ZAH.i_Raw fbDigital PL2_4227_052_VLV_0143_ZAH PL2_4227_052_VLV_0143_ZAH.i_Raw fbDigital PL2_4227_052_VLV_0144_ZAH PL2_4227_052_VLV_0144_ZAH.i_Raw fbDigital PL2_4227_052_VLV_0145_ZAH PL2_4227_052_VLV_0145_ZAH.i_Raw</t>
  </si>
  <si>
    <t>fbDigital PL2_4227_052_VLV_0151_ZAH PL2_4227_052_VLV_0151_ZAH.i_Raw fbDigital PL2_4227_052_VLV_0152_ZAH PL2_4227_052_VLV_0152_ZAH.i_Raw fbDigital PL2_4227_052_VLV_0153_ZAH PL2_4227_052_VLV_0153_ZAH.i_Raw fbDigital PL2_4227_052_VLV_0154_ZAH PL2_4227_052_VLV_0154_ZAH.i_Raw fbDigital PL2_4227_052_VLV_0155_ZAH PL2_4227_052_VLV_0155_ZAH.i_Raw</t>
  </si>
  <si>
    <t>fbDigital PL2_4227_052_VLV_0131_ZAL PL2_4227_052_VLV_0131_ZAL.i_Raw fbDigital PL2_4227_052_VLV_0132_ZAL PL2_4227_052_VLV_0132_ZAL.i_Raw fbDigital PL2_4227_052_VLV_0133_ZAL PL2_4227_052_VLV_0133_ZAL.i_Raw fbDigital PL2_4227_052_VLV_0134_ZAL PL2_4227_052_VLV_0134_ZAL.i_Raw fbDigital PL2_4227_052_VLV_0135_ZAL PL2_4227_052_VLV_0135_ZAL.i_Raw</t>
  </si>
  <si>
    <t>fbDigital PL2_4227_052_VLV_0141_ZAL PL2_4227_052_VLV_0141_ZAL.i_Raw fbDigital PL2_4227_052_VLV_0142_ZAL PL2_4227_052_VLV_0142_ZAL.i_Raw fbDigital PL2_4227_052_VLV_0143_ZAL PL2_4227_052_VLV_0143_ZAL.i_Raw fbDigital PL2_4227_052_VLV_0144_ZAL PL2_4227_052_VLV_0144_ZAL.i_Raw fbDigital PL2_4227_052_VLV_0145_ZAL PL2_4227_052_VLV_0145_ZAL.i_Raw</t>
  </si>
  <si>
    <t xml:space="preserve">fbDigital PL2_4227_052_VLV_0151_ZAL PL2_4227_052_VLV_0151_ZAL.i_Raw fbDigital PL2_4227_052_VLV_0152_ZAL PL2_4227_052_VLV_0152_ZAL.i_Raw fbDigital PL2_4227_052_VLV_0153_ZAL PL2_4227_052_VLV_0153_ZAL.i_Raw fbDigital PL2_4227_052_VLV_0154_ZAL PL2_4227_052_VLV_0154_ZAL.i_Raw fbDigital PL2_4227_052_VLV_0155_ZAL PL2_4227_052_VLV_0155_ZAL.i_Raw </t>
  </si>
  <si>
    <t>PL2_4227_498_FIT_0132_FAH</t>
  </si>
  <si>
    <t>PL2_4227_498_FIT_0133_FAH</t>
  </si>
  <si>
    <t>PL2_4227_498_FIT_0134_FAH</t>
  </si>
  <si>
    <t>PL2_4227_498_FIT_0135_FAH</t>
  </si>
  <si>
    <t>PL2_4227_498_FIT_0141_FAH</t>
  </si>
  <si>
    <t>PL2_4227_498_FIT_0142_FAH</t>
  </si>
  <si>
    <t>PL2_4227_498_FIT_0143_FAH</t>
  </si>
  <si>
    <t>PL2_4227_498_FIT_0144_FAH</t>
  </si>
  <si>
    <t>PL2_4227_498_FIT_0145_FAH</t>
  </si>
  <si>
    <t>PL2_4227_498_FIT_0151_FAH</t>
  </si>
  <si>
    <t>PL2_4227_498_FIT_0152_FAH</t>
  </si>
  <si>
    <t>PL2_4227_498_FIT_0153_FAH</t>
  </si>
  <si>
    <t>PL2_4227_498_FIT_0154_FAH</t>
  </si>
  <si>
    <t>PL2_4227_498_FIT_0155_FAH</t>
  </si>
  <si>
    <t>PL2_4227_498_FIT_0131_FAH</t>
  </si>
  <si>
    <t>PL2_4227_498_FIT_0132_FAL</t>
  </si>
  <si>
    <t>PL2_4227_498_FIT_0133_FAL</t>
  </si>
  <si>
    <t>PL2_4227_498_FIT_0134_FAL</t>
  </si>
  <si>
    <t>PL2_4227_498_FIT_0135_FAL</t>
  </si>
  <si>
    <t>PL2_4227_498_FIT_0141_FAL</t>
  </si>
  <si>
    <t>PL2_4227_498_FIT_0142_FAL</t>
  </si>
  <si>
    <t>PL2_4227_498_FIT_0143_FAL</t>
  </si>
  <si>
    <t>PL2_4227_498_FIT_0144_FAL</t>
  </si>
  <si>
    <t>PL2_4227_498_FIT_0145_FAL</t>
  </si>
  <si>
    <t>PL2_4227_498_FIT_0151_FAL</t>
  </si>
  <si>
    <t>PL2_4227_498_FIT_0152_FAL</t>
  </si>
  <si>
    <t>PL2_4227_498_FIT_0153_FAL</t>
  </si>
  <si>
    <t>PL2_4227_498_FIT_0154_FAL</t>
  </si>
  <si>
    <t>PL2_4227_498_FIT_0155_FAL</t>
  </si>
  <si>
    <t>PL2_4227_498_FIT_0131_FAL</t>
  </si>
  <si>
    <t>fbDigital PL2_4227_498_FIT_0131_FAH PL2_4227_498_FIT_0131_FAH.i_Raw fbDigital PL2_4227_498_FIT_0132_FAH PL2_4227_498_FIT_0132_FAH.i_Raw fbDigital PL2_4227_498_FIT_0133_FAH PL2_4227_498_FIT_0133_FAH.i_Raw fbDigital PL2_4227_498_FIT_0134_FAH PL2_4227_498_FIT_0134_FAH.i_Raw fbDigital PL2_4227_498_FIT_0135_FAH PL2_4227_498_FIT_0135_FAH.i_Raw</t>
  </si>
  <si>
    <t>fbDigital PL2_4227_498_FIT_0141_FAH PL2_4227_498_FIT_0141_FAH.i_Raw fbDigital PL2_4227_498_FIT_0142_FAH PL2_4227_498_FIT_0142_FAH.i_Raw fbDigital PL2_4227_498_FIT_0143_FAH PL2_4227_498_FIT_0143_FAH.i_Raw fbDigital PL2_4227_498_FIT_0144_FAH PL2_4227_498_FIT_0144_FAH.i_Raw fbDigital PL2_4227_498_FIT_0145_FAH PL2_4227_498_FIT_0145_FAH.i_Raw</t>
  </si>
  <si>
    <t>fbDigital PL2_4227_498_FIT_0151_FAH PL2_4227_498_FIT_0151_FAH.i_Raw fbDigital PL2_4227_498_FIT_0152_FAH PL2_4227_498_FIT_0152_FAH.i_Raw fbDigital PL2_4227_498_FIT_0153_FAH PL2_4227_498_FIT_0153_FAH.i_Raw fbDigital PL2_4227_498_FIT_0154_FAH PL2_4227_498_FIT_0154_FAH.i_Raw fbDigital PL2_4227_498_FIT_0155_FAH PL2_4227_498_FIT_0155_FAH.i_Raw</t>
  </si>
  <si>
    <t>fbDigital PL2_4227_498_FIT_0131_FAL PL2_4227_498_FIT_0131_FAL.i_Raw fbDigital PL2_4227_498_FIT_0132_FAL PL2_4227_498_FIT_0132_FAL.i_Raw fbDigital PL2_4227_498_FIT_0133_FAL PL2_4227_498_FIT_0133_FAL.i_Raw fbDigital PL2_4227_498_FIT_0134_FAL PL2_4227_498_FIT_0134_FAL.i_Raw fbDigital PL2_4227_498_FIT_0135_FAL PL2_4227_498_FIT_0135_FAL.i_Raw</t>
  </si>
  <si>
    <t>fbDigital PL2_4227_498_FIT_0141_FAL PL2_4227_498_FIT_0141_FAL.i_Raw fbDigital PL2_4227_498_FIT_0142_FAL PL2_4227_498_FIT_0142_FAL.i_Raw fbDigital PL2_4227_498_FIT_0143_FAL PL2_4227_498_FIT_0143_FAL.i_Raw fbDigital PL2_4227_498_FIT_0144_FAL PL2_4227_498_FIT_0144_FAL.i_Raw fbDigital PL2_4227_498_FIT_0145_FAL PL2_4227_498_FIT_0145_FAL.i_Raw</t>
  </si>
  <si>
    <t>fbDigital PL2_4227_498_FIT_0151_FAL PL2_4227_498_FIT_0151_FAL.i_Raw fbDigital PL2_4227_498_FIT_0152_FAL PL2_4227_498_FIT_0152_FAL.i_Raw fbDigital PL2_4227_498_FIT_0153_FAL PL2_4227_498_FIT_0153_FAL.i_Raw fbDigital PL2_4227_498_FIT_0154_FAL PL2_4227_498_FIT_0154_FAL.i_Raw fbDigital PL2_4227_498_FIT_0155_FAL PL2_4227_498_FIT_0155_FAL.i_Raw</t>
  </si>
  <si>
    <t>fbAnalog PL2_4228_461_TIT_0212 SysClock.o_NewDay 0 0 0.0 fbAnalog PL2_4228_461_TIT_0213A SysClock.o_NewDay 0 0 0.0 fbAnalog PL2_4228_461_TIT_0213B SysClock.o_NewDay 0 0 0.0 fbAnalog PL2_4228_461_TIT_0214 SysClock.o_NewDay 0 0 0.0 fbAnalog PL2_4228_461_PIT_0215 SysClock.o_NewDay 0 0 0.0</t>
  </si>
  <si>
    <t>fbAnalog PL2_4228_461_TIT_0222 SysClock.o_NewDay 0 0 0.0 fbAnalog PL2_4228_461_TIT_0223A SysClock.o_NewDay 0 0 0.0 fbAnalog PL2_4228_461_TIT_0223B SysClock.o_NewDay 0 0 0.0 fbAnalog PL2_4228_461_TIT_0224 SysClock.o_NewDay 0 0 0.0 fbAnalog PL2_4228_461_PIT_0225 SysClock.o_NewDay 0 0 0.0</t>
  </si>
  <si>
    <t>fbAnalog PL2_4228_461_TIT_0232 SysClock.o_NewDay 0 0 0.0 fbAnalog PL2_4228_461_TIT_0233A SysClock.o_NewDay 0 0 0.0 fbAnalog PL2_4228_461_TIT_0233B SysClock.o_NewDay 0 0 0.0 fbAnalog PL2_4228_461_TIT_0234 SysClock.o_NewDay 0 0 0.0 fbAnalog PL2_4228_461_PIT_0235 SysClock.o_NewDay 0 0 0.0</t>
  </si>
  <si>
    <t>fbAnalog PL2_4228_461_TIT_0242 SysClock.o_NewDay 0 0 0.0 fbAnalog PL2_4228_461_TIT_0243A SysClock.o_NewDay 0 0 0.0 fbAnalog PL2_4228_461_TIT_0243B SysClock.o_NewDay 0 0 0.0 fbAnalog PL2_4228_461_TIT_0244 SysClock.o_NewDay 0 0 0.0 fbAnalog PL2_4228_461_PIT_0245 SysClock.o_NewDay 0 0 0.0</t>
  </si>
  <si>
    <t>fbAnalog PL2_4228_461_TIT_0252 SysClock.o_NewDay 0 0 0.0 fbAnalog PL2_4228_461_TIT_0253A SysClock.o_NewDay 0 0 0.0 fbAnalog PL2_4228_461_TIT_0253B SysClock.o_NewDay 0 0 0.0 fbAnalog PL2_4228_461_TIT_0254 SysClock.o_NewDay 0 0 0.0 fbAnalog PL2_4228_461_PIT_0255 SysClock.o_NewDay 0 0 0.0</t>
  </si>
  <si>
    <t>fbAnalog PL2_4228_461_TIT_0262 SysClock.o_NewDay 0 0 0.0 fbAnalog PL2_4228_461_TIT_0263A SysClock.o_NewDay 0 0 0.0 fbAnalog PL2_4228_461_TIT_0263B SysClock.o_NewDay 0 0 0.0 fbAnalog PL2_4228_461_TIT_0264 SysClock.o_NewDay 0 0 0.0 fbAnalog PL2_4228_461_PIT_0265 SysClock.o_NewDay 0 0 0.0</t>
  </si>
  <si>
    <t>fbAnalog PL2_4228_461_TIT_0272 SysClock.o_NewDay 0 0 0.0 fbAnalog PL2_4228_461_TIT_0273A SysClock.o_NewDay 0 0 0.0 fbAnalog PL2_4228_461_TIT_0273B SysClock.o_NewDay 0 0 0.0 fbAnalog PL2_4228_461_TIT_0274 SysClock.o_NewDay 0 0 0.0 fbAnalog PL2_4228_461_PIT_0275 SysClock.o_NewDay 0 0 0.0</t>
  </si>
  <si>
    <t>fbAnalog PL2_4228_461_TIT_0282 SysClock.o_NewDay 0 0 0.0 fbAnalog PL2_4228_461_TIT_0283A SysClock.o_NewDay 0 0 0.0 fbAnalog PL2_4228_461_TIT_0283B SysClock.o_NewDay 0 0 0.0 fbAnalog PL2_4228_461_TIT_0284 SysClock.o_NewDay 0 0 0.0 fbAnalog PL2_4228_461_PIT_0285 SysClock.o_NewDay 0 0 0.0</t>
  </si>
  <si>
    <t>fbDigital PL2_4228_452_PIT_0215_PAH PL2_4228_452_PIT_0215_PAH.i_Raw fbDigital PL2_4228_452_PIT_0215_PAL PL2_4228_452_PIT_0215_PAL.i_Raw</t>
  </si>
  <si>
    <t>fbDigital PL2_4228_452_PIT_0225_PAH PL2_4228_452_PIT_0225_PAH.i_Raw fbDigital PL2_4228_452_PIT_0225_PAL PL2_4228_452_PIT_0225_PAL.i_Raw</t>
  </si>
  <si>
    <t>fbDigital PL2_4228_452_PIT_0235_PAH PL2_4228_452_PIT_0235_PAH.i_Raw fbDigital PL2_4228_452_PIT_0235_PAL PL2_4228_452_PIT_0235_PAL.i_Raw</t>
  </si>
  <si>
    <t>fbDigital PL2_4228_452_PIT_0245_PAH PL2_4228_452_PIT_0245_PAH.i_Raw fbDigital PL2_4228_452_PIT_0245_PAL PL2_4228_452_PIT_0245_PAL.i_Raw</t>
  </si>
  <si>
    <t>fbDigital PL2_4228_452_PIT_0255_PAH PL2_4228_452_PIT_0255_PAH.i_Raw fbDigital PL2_4228_452_PIT_0255_PAL PL2_4228_452_PIT_0255_PAL.i_Raw</t>
  </si>
  <si>
    <t>fbDigital PL2_4228_452_PIT_0265_PAH PL2_4228_452_PIT_0265_PAH.i_Raw fbDigital PL2_4228_452_PIT_0265_PAL PL2_4228_452_PIT_0265_PAL.i_Raw</t>
  </si>
  <si>
    <t>fbDigital PL2_4228_452_PIT_0275_PAH PL2_4228_452_PIT_0275_PAH.i_Raw fbDigital PL2_4228_452_PIT_0275_PAL PL2_4228_452_PIT_0275_PAL.i_Raw</t>
  </si>
  <si>
    <t>fbDigital PL2_4228_452_PIT_0285_PAH PL2_4228_452_PIT_0285_PAH.i_Raw fbDigital PL2_4228_452_PIT_0285_PAL PL2_4228_452_PIT_0285_PAL.i_Raw</t>
  </si>
  <si>
    <t>BNR Train No. 1 Post Grid 1 High Dissolved Oxygen</t>
  </si>
  <si>
    <t>BNR Train No. 1 Post Grid 3 High Dissolved Oxygen</t>
  </si>
  <si>
    <t>BNR Train No. 1 Post Grid 5 High Dissolved Oxygen</t>
  </si>
  <si>
    <t>BNR Train No. 2 Post Grid 1 High Dissolved Oxygen</t>
  </si>
  <si>
    <t>BNR Train No. 2 Post Grid 3 High Dissolved Oxygen</t>
  </si>
  <si>
    <t>BNR Train No. 2 Post Grid 5 High Dissolved Oxygen</t>
  </si>
  <si>
    <t>BNR Train No. 3 Post Grid 1 High Dissolved Oxygen</t>
  </si>
  <si>
    <t>BNR Train No. 3 Post Grid 3 High Dissolved Oxygen</t>
  </si>
  <si>
    <t>BNR Train No. 3 Post Grid 5 High Dissolved Oxygen</t>
  </si>
  <si>
    <t>BNR Train No. 1 Post Grid 1 Low Dissolved Oxygen</t>
  </si>
  <si>
    <t>BNR Train No. 1 Post Grid 3 Low Dissolved Oxygen</t>
  </si>
  <si>
    <t>BNR Train No. 1 Post Grid 5 Low Dissolved Oxygen</t>
  </si>
  <si>
    <t>BNR Train No. 2 Post Grid 1 Low Dissolved Oxygen</t>
  </si>
  <si>
    <t>BNR Train No. 2 Post Grid 3 Low Dissolved Oxygen</t>
  </si>
  <si>
    <t>BNR Train No. 2 Post Grid 5 Low Dissolved Oxygen</t>
  </si>
  <si>
    <t>BNR Train No. 3 Post Grid 1 Low Dissolved Oxygen</t>
  </si>
  <si>
    <t>BNR Train No. 3 Post Grid 3 Low Dissolved Oxygen</t>
  </si>
  <si>
    <t>BNR Train No. 3 Post Grid 5 Low Dissolved Oxygen</t>
  </si>
  <si>
    <t>AAH</t>
  </si>
  <si>
    <t>AAL</t>
  </si>
  <si>
    <t>BNR Structure Effluent Channel</t>
  </si>
  <si>
    <t>NH3/PO4</t>
  </si>
  <si>
    <t>BNR Structure Effluent Channel NH3/PO4</t>
  </si>
  <si>
    <t>0064</t>
  </si>
  <si>
    <t>NH3</t>
  </si>
  <si>
    <t>PL2_4227_431_AIT_0064_NH3</t>
  </si>
  <si>
    <t>Closed</t>
  </si>
  <si>
    <t>Opened</t>
  </si>
  <si>
    <t>PL2_4227_052_VLV_0131_ZSO</t>
  </si>
  <si>
    <t>PL2_4227_052_VLV_0132_ZSO</t>
  </si>
  <si>
    <t>PL2_4227_052_VLV_0133_ZSO</t>
  </si>
  <si>
    <t>PL2_4227_052_VLV_0134_ZSO</t>
  </si>
  <si>
    <t>PL2_4227_052_VLV_0135_ZSO</t>
  </si>
  <si>
    <t>PL2_4227_052_VLV_0141_ZSO</t>
  </si>
  <si>
    <t>PL2_4227_052_VLV_0142_ZSO</t>
  </si>
  <si>
    <t>PL2_4227_052_VLV_0143_ZSO</t>
  </si>
  <si>
    <t>PL2_4227_052_VLV_0144_ZSO</t>
  </si>
  <si>
    <t>PL2_4227_052_VLV_0145_ZSO</t>
  </si>
  <si>
    <t>PL2_4227_052_VLV_0151_ZSO</t>
  </si>
  <si>
    <t>PL2_4227_052_VLV_0152_ZSO</t>
  </si>
  <si>
    <t>PL2_4227_052_VLV_0153_ZSO</t>
  </si>
  <si>
    <t>PL2_4227_052_VLV_0154_ZSO</t>
  </si>
  <si>
    <t>PL2_4227_052_VLV_0155_ZSO</t>
  </si>
  <si>
    <t>PL2_4227_052_VLV_0131_ZSC</t>
  </si>
  <si>
    <t>PL2_4227_052_VLV_0132_ZSC</t>
  </si>
  <si>
    <t>PL2_4227_052_VLV_0133_ZSC</t>
  </si>
  <si>
    <t>PL2_4227_052_VLV_0134_ZSC</t>
  </si>
  <si>
    <t>PL2_4227_052_VLV_0135_ZSC</t>
  </si>
  <si>
    <t>PL2_4227_052_VLV_0141_ZSC</t>
  </si>
  <si>
    <t>PL2_4227_052_VLV_0142_ZSC</t>
  </si>
  <si>
    <t>PL2_4227_052_VLV_0143_ZSC</t>
  </si>
  <si>
    <t>PL2_4227_052_VLV_0144_ZSC</t>
  </si>
  <si>
    <t>PL2_4227_052_VLV_0145_ZSC</t>
  </si>
  <si>
    <t>PL2_4227_052_VLV_0151_ZSC</t>
  </si>
  <si>
    <t>PL2_4227_052_VLV_0152_ZSC</t>
  </si>
  <si>
    <t>PL2_4227_052_VLV_0153_ZSC</t>
  </si>
  <si>
    <t>PL2_4227_052_VLV_0154_ZSC</t>
  </si>
  <si>
    <t>PL2_4227_052_VLV_0155_ZSC</t>
  </si>
  <si>
    <t>XIC Always_False OTE PL2_4227_052_VLV_0131_YCI</t>
  </si>
  <si>
    <t>XIC Always_False OTE PL2_4227_052_VLV_0131_ZSC</t>
  </si>
  <si>
    <t>XIC Always_False OTE PL2_4227_052_VLV_0131_ZSO</t>
  </si>
  <si>
    <t>XIC Always_False OTE PL2_4227_052_VLV_0132_YCI</t>
  </si>
  <si>
    <t>XIC Always_False OTE PL2_4227_052_VLV_0132_ZSC</t>
  </si>
  <si>
    <t>XIC Always_False OTE PL2_4227_052_VLV_0132_ZSO</t>
  </si>
  <si>
    <t>XIC Always_False OTE PL2_4227_052_VLV_0133_YCI</t>
  </si>
  <si>
    <t>XIC Always_False OTE PL2_4227_052_VLV_0133_ZSC</t>
  </si>
  <si>
    <t>XIC Always_False OTE PL2_4227_052_VLV_0133_ZSO</t>
  </si>
  <si>
    <t>XIC Always_False OTE PL2_4227_052_VLV_0134_YCI</t>
  </si>
  <si>
    <t>XIC Always_False OTE PL2_4227_052_VLV_0134_ZSC</t>
  </si>
  <si>
    <t>XIC Always_False OTE PL2_4227_052_VLV_0134_ZSO</t>
  </si>
  <si>
    <t>XIC Always_False OTE PL2_4227_052_VLV_0135_YCI</t>
  </si>
  <si>
    <t>XIC Always_False OTE PL2_4227_052_VLV_0135_ZSC</t>
  </si>
  <si>
    <t>XIC Always_False OTE PL2_4227_052_VLV_0135_ZSO</t>
  </si>
  <si>
    <t>XIC Always_False OTE PL2_4227_052_VLV_0141_YCI</t>
  </si>
  <si>
    <t>XIC Always_False OTE PL2_4227_052_VLV_0141_ZSC</t>
  </si>
  <si>
    <t>XIC Always_False OTE PL2_4227_052_VLV_0141_ZSO</t>
  </si>
  <si>
    <t>XIC Always_False OTE PL2_4227_052_VLV_0142_YCI</t>
  </si>
  <si>
    <t>XIC Always_False OTE PL2_4227_052_VLV_0142_ZSC</t>
  </si>
  <si>
    <t>XIC Always_False OTE PL2_4227_052_VLV_0142_ZSO</t>
  </si>
  <si>
    <t>XIC Always_False OTE PL2_4227_052_VLV_0143_YCI</t>
  </si>
  <si>
    <t>XIC Always_False OTE PL2_4227_052_VLV_0143_ZSC</t>
  </si>
  <si>
    <t>XIC Always_False OTE PL2_4227_052_VLV_0143_ZSO</t>
  </si>
  <si>
    <t>XIC Always_False OTE PL2_4227_052_VLV_0144_YCI</t>
  </si>
  <si>
    <t>XIC Always_False OTE PL2_4227_052_VLV_0144_ZSC</t>
  </si>
  <si>
    <t>XIC Always_False OTE PL2_4227_052_VLV_0144_ZSO</t>
  </si>
  <si>
    <t>XIC Always_False OTE PL2_4227_052_VLV_0145_YCI</t>
  </si>
  <si>
    <t>XIC Always_False OTE PL2_4227_052_VLV_0145_ZSC</t>
  </si>
  <si>
    <t>XIC Always_False OTE PL2_4227_052_VLV_0145_ZSO</t>
  </si>
  <si>
    <t>XIC Always_False OTE PL2_4227_052_VLV_0151_YCI</t>
  </si>
  <si>
    <t>XIC Always_False OTE PL2_4227_052_VLV_0151_ZSC</t>
  </si>
  <si>
    <t>XIC Always_False OTE PL2_4227_052_VLV_0151_ZSO</t>
  </si>
  <si>
    <t>XIC Always_False OTE PL2_4227_052_VLV_0152_YCI</t>
  </si>
  <si>
    <t>XIC Always_False OTE PL2_4227_052_VLV_0152_ZSC</t>
  </si>
  <si>
    <t>XIC Always_False OTE PL2_4227_052_VLV_0152_ZSO</t>
  </si>
  <si>
    <t>XIC Always_False OTE PL2_4227_052_VLV_0153_YCI</t>
  </si>
  <si>
    <t>XIC Always_False OTE PL2_4227_052_VLV_0153_ZSC</t>
  </si>
  <si>
    <t>XIC Always_False OTE PL2_4227_052_VLV_0153_ZSO</t>
  </si>
  <si>
    <t>XIC Always_False OTE PL2_4227_052_VLV_0154_YCI</t>
  </si>
  <si>
    <t>XIC Always_False OTE PL2_4227_052_VLV_0154_ZSC</t>
  </si>
  <si>
    <t>XIC Always_False OTE PL2_4227_052_VLV_0154_ZSO</t>
  </si>
  <si>
    <t>XIC Always_False OTE PL2_4227_052_VLV_0155_YCI</t>
  </si>
  <si>
    <t>XIC Always_False OTE PL2_4227_052_VLV_0155_ZSC</t>
  </si>
  <si>
    <t>XIC Always_False OTE PL2_4227_052_VLV_0155_ZSO</t>
  </si>
  <si>
    <t>ZSO</t>
  </si>
  <si>
    <t>ZSC</t>
  </si>
  <si>
    <t>BNR Grid 1-1 Flow Control Valve Opened</t>
  </si>
  <si>
    <t>BNR Grid 1-2 Flow Control Valve Opened</t>
  </si>
  <si>
    <t>BNR Grid 1-3 Flow Control Valve Opened</t>
  </si>
  <si>
    <t>BNR Grid 1-4 Flow Control Valve Opened</t>
  </si>
  <si>
    <t>BNR Grid 1-5 Flow Control Valve Opened</t>
  </si>
  <si>
    <t>BNR Grid 2-1 Flow Control Valve Opened</t>
  </si>
  <si>
    <t>BNR Grid 2-2 Flow Control Valve Opened</t>
  </si>
  <si>
    <t>BNR Grid 2-3 Flow Control Valve Opened</t>
  </si>
  <si>
    <t>BNR Grid 2-4 Flow Control Valve Opened</t>
  </si>
  <si>
    <t>BNR Grid 2-5 Flow Control Valve Opened</t>
  </si>
  <si>
    <t>BNR Grid 3-1 Flow Control Valve Opened</t>
  </si>
  <si>
    <t>BNR Grid 3-2 Flow Control Valve Opened</t>
  </si>
  <si>
    <t>BNR Grid 3-3 Flow Control Valve Opened</t>
  </si>
  <si>
    <t>BNR Grid 3-4 Flow Control Valve Opened</t>
  </si>
  <si>
    <t>BNR Grid 3-5 Flow Control Valve Opened</t>
  </si>
  <si>
    <t>BNR Grid 1-1 Flow Control Valve Closed</t>
  </si>
  <si>
    <t>BNR Grid 1-2 Flow Control Valve Closed</t>
  </si>
  <si>
    <t>BNR Grid 1-3 Flow Control Valve Closed</t>
  </si>
  <si>
    <t>BNR Grid 1-4 Flow Control Valve Closed</t>
  </si>
  <si>
    <t>BNR Grid 1-5 Flow Control Valve Closed</t>
  </si>
  <si>
    <t>BNR Grid 2-1 Flow Control Valve Closed</t>
  </si>
  <si>
    <t>BNR Grid 2-2 Flow Control Valve Closed</t>
  </si>
  <si>
    <t>BNR Grid 2-3 Flow Control Valve Closed</t>
  </si>
  <si>
    <t>BNR Grid 2-4 Flow Control Valve Closed</t>
  </si>
  <si>
    <t>BNR Grid 2-5 Flow Control Valve Closed</t>
  </si>
  <si>
    <t>BNR Grid 3-1 Flow Control Valve Closed</t>
  </si>
  <si>
    <t>BNR Grid 3-2 Flow Control Valve Closed</t>
  </si>
  <si>
    <t>BNR Grid 3-3 Flow Control Valve Closed</t>
  </si>
  <si>
    <t>BNR Grid 3-4 Flow Control Valve Closed</t>
  </si>
  <si>
    <t>BNR Grid 3-5 Flow Control Valve Closed</t>
  </si>
  <si>
    <t>BNR Grid 1-1 Flow Control Valve Fault</t>
  </si>
  <si>
    <t>BNR Grid 1-2 Flow Control Valve Fault</t>
  </si>
  <si>
    <t>BNR Grid 1-3 Flow Control Valve Fault</t>
  </si>
  <si>
    <t>BNR Grid 1-4 Flow Control Valve Fault</t>
  </si>
  <si>
    <t>BNR Grid 1-5 Flow Control Valve Fault</t>
  </si>
  <si>
    <t>BNR Grid 2-1 Flow Control Valve Fault</t>
  </si>
  <si>
    <t>BNR Grid 2-2 Flow Control Valve Fault</t>
  </si>
  <si>
    <t>BNR Grid 2-3 Flow Control Valve Fault</t>
  </si>
  <si>
    <t>BNR Grid 2-4 Flow Control Valve Fault</t>
  </si>
  <si>
    <t>BNR Grid 2-5 Flow Control Valve Fault</t>
  </si>
  <si>
    <t>BNR Grid 3-1 Flow Control Valve Fault</t>
  </si>
  <si>
    <t>BNR Grid 3-2 Flow Control Valve Fault</t>
  </si>
  <si>
    <t>BNR Grid 3-3 Flow Control Valve Fault</t>
  </si>
  <si>
    <t>BNR Grid 3-4 Flow Control Valve Fault</t>
  </si>
  <si>
    <t>BNR Grid 3-5 Flow Control Valve Fault</t>
  </si>
  <si>
    <t xml:space="preserve">*************************************************************
Rack 1 Slot 1 - Analog Inputs
*************************************************************
Channel 0 - PL2_4227_235_PMP_0111_SI - Nitrate Recycle Pump No. 1 Speed FB  
Channel 1 - PL2_4227_235_PMP_0112_SI - Nitrate Recycle Pump No. 2 Speed FB  
Channel 2 - PL2_4227_463_AIT_0139_TSS - BNR Train No. 1 TSS  
Channel 3 - PL2_4227_450_AIT_0063_PH - BNR Effluent Channel pH  
Channel 4 - PL2_4227_431_AIT_0062_NO3 - BNR Effluent Channel Nitrate  
Channel 5 -  
Channel 6 -  
Channel 7 -  
</t>
  </si>
  <si>
    <t xml:space="preserve">*************************************************************
Rack 1 Slot 3 - Analog Inputs
*************************************************************
Channel 0 - PL2_4227_235_PMP_0311_SI - Nitrate Recycle Pump No. 5 Speed FB  
Channel 1 - PL2_4227_235_PMP_0312_SI - Nitrate Recycle Pump No. 6 Speed FB  
Channel 2 - PL2_4227_463_AIT_0159_TSS - BNR Train No. 3 TSS  
Channel 3 -  
Channel 4 -  
Channel 5 -  
Channel 6 -  
Channel 7 -  
</t>
  </si>
  <si>
    <t>PL2_4228_XXX_JS_0804</t>
  </si>
  <si>
    <t>PL2_4228_XXX_JS_0803</t>
  </si>
  <si>
    <t>PL2_4228_XXX_ZS_0801</t>
  </si>
  <si>
    <t>PL2_4228_XXX_TT_0802</t>
  </si>
  <si>
    <t>429</t>
  </si>
  <si>
    <t>0110</t>
  </si>
  <si>
    <t>PL2_4227_052_VLV_0131_YAF</t>
  </si>
  <si>
    <t>PL2_4227_052_VLV_0132_YAF</t>
  </si>
  <si>
    <t>PL2_4227_052_VLV_0133_YAF</t>
  </si>
  <si>
    <t>PL2_4227_052_VLV_0134_YAF</t>
  </si>
  <si>
    <t>PL2_4227_052_VLV_0135_YAF</t>
  </si>
  <si>
    <t>PL2_4227_052_VLV_0141_YAF</t>
  </si>
  <si>
    <t>PL2_4227_052_VLV_0142_YAF</t>
  </si>
  <si>
    <t>PL2_4227_052_VLV_0143_YAF</t>
  </si>
  <si>
    <t>PL2_4227_052_VLV_0144_YAF</t>
  </si>
  <si>
    <t>PL2_4227_052_VLV_0145_YAF</t>
  </si>
  <si>
    <t>PL2_4227_052_VLV_0151_YAF</t>
  </si>
  <si>
    <t>PL2_4227_052_VLV_0152_YAF</t>
  </si>
  <si>
    <t>PL2_4227_052_VLV_0153_YAF</t>
  </si>
  <si>
    <t>PL2_4227_052_VLV_0154_YAF</t>
  </si>
  <si>
    <t>PL2_4227_052_VLV_0155_YAF</t>
  </si>
  <si>
    <t>PLC-BNR UPS Service Required</t>
  </si>
  <si>
    <t>PLC-BNR UPS In Battery Mode</t>
  </si>
  <si>
    <t>PLC-BNR UPS General Alarm</t>
  </si>
  <si>
    <t>YAN</t>
  </si>
  <si>
    <t>PL2_4228_429_UPS_0110_YAN</t>
  </si>
  <si>
    <t>PL2_4228_429_UPS_0110_JSB</t>
  </si>
  <si>
    <t>PL2_4228_429_UPS_0110_YAF</t>
  </si>
  <si>
    <t xml:space="preserve">PLC-BNR </t>
  </si>
  <si>
    <t>UPS Service Required</t>
  </si>
  <si>
    <t>UPS In Battery Mode</t>
  </si>
  <si>
    <t>UPS General Alarm</t>
  </si>
  <si>
    <t xml:space="preserve">*************************************************************
Rack 1 Slot 9 - Digital Inputs
*************************************************************
Channel 0 -  
Channel 1 -  
Channel 2 -  
Channel 3 -  
Channel 4 -  
Channel 5 -  
Channel 6 -  
Channel 7 -  
Channel 8 -  
Channel 9 -  
Channel 10 -  
Channel 11 -  
Channel 12 -  
Channel 13 -  
Channel 14 -  
Channel 15 -  
</t>
  </si>
  <si>
    <t xml:space="preserve">*************************************************************
Rack 1 Slot 2 - Analog Inputs
*************************************************************
Channel 0 - PL2_4227_235_PMP_0211_SI - Nitrate Recycle Pump No. 3 Speed FB  
Channel 1 - PL2_4227_235_PMP_0212_SI - Nitrate Recycle Pump No. 4 Speed FB  
Channel 2 - PL2_4227_463_AIT_0149_TSS - BNR Train No. 2 TSS  
Channel 3 - PL2_4228_XXX_TT_0802 - PLC-BNR Cabinet Temperature  
Channel 4 - PL2_4228_461_TT_0201 - BNR Blower Electrical Room Temperature  
Channel 5 -  
Channel 6 -  
Channel 7 -  
</t>
  </si>
  <si>
    <t xml:space="preserve">*************************************************************
Rack 1 Slot 5 - Analog Outputs
*************************************************************
Channel 0 - PL2_4227_235_PMP_0111_SC - Nitrate Recycle Pump No. 1 Speed Command  
Channel 1 - PL2_4227_235_PMP_0112_SC - Nitrate Recycle Pump No. 2 Speed Command  
Channel 2 - PL2_4227_235_PMP_0211_SC - Nitrate Recycle Pump No. 3 Speed Command  
Channel 3 - PL2_4227_235_PMP_0212_SC - Nitrate Recycle Pump No. 4 Speed Command  
Channel 4 - PL2_4227_235_PMP_0311_SC - Nitrate Recycle Pump No. 5 Speed Command  
Channel 5 - PL2_4227_235_PMP_0312_SC - Nitrate Recycle Pump No. 6 Speed Command  
Channel 6 -  
Channel 7 -  
</t>
  </si>
  <si>
    <t xml:space="preserve">*************************************************************
Rack 1 Slot 11 - Digital Outputs
*************************************************************
Channel 0 - PL2_4227_235_PMP_0111_HSS - Nitrate Recycle Pump No. 1 Start/Stop Command  
Channel 1 - PL2_4227_235_PMP_0112_HSS - Nitrate Recycle Pump No. 2 Start/Stop Command  
Channel 2 - PL2_4227_235_PMP_0211_HSS - Nitrate Recycle Pump No. 3 Start/Stop Command  
Channel 3 - PL2_4227_235_PMP_0212_HSS - Nitrate Recycle Pump No. 4 Start/Stop Command  
Channel 4 - PL2_4227_235_PMP_0311_HSS - Nitrate Recycle Pump No. 5 Start/Stop Command  
Channel 5 - PL2_4227_235_PMP_0312_HSS - Nitrate Recycle Pump No. 6 Start/Stop Command  
Channel 6 -  
Channel 7 -  
Channel 8 -  
Channel 9 -  
Channel 10 -  
Channel 11 -  
Channel 12 -  
Channel 13 -  
Channel 14 -  
Channel 15 -  
</t>
  </si>
  <si>
    <t>R1S12</t>
  </si>
  <si>
    <t>XIC R1S12:6:I.Data.0 OTE PL2_4227_235_PMP_0111_YCI</t>
  </si>
  <si>
    <t>XIC R1S12:6:I.Data.1 OTE PL2_4227_235_PMP_0111_YRI</t>
  </si>
  <si>
    <t>fbDigital PL2_4227_235_PMP_0111_YAF R1S12:6:I.Data.2</t>
  </si>
  <si>
    <t>fbDigital PL2_4227_235_PMP_0111_MAH R1S12:6:I.Data.4</t>
  </si>
  <si>
    <t>fbDigital PL2_4227_235_PMP_0111_YAE R1S12:6:I.Data.5</t>
  </si>
  <si>
    <t>XIC R1S12:6:I.Data.6 OTE PL2_4227_235_PMP_0112_YCI</t>
  </si>
  <si>
    <t>XIC R1S12:6:I.Data.7 OTE PL2_4227_235_PMP_0112_YRI</t>
  </si>
  <si>
    <t>fbDigital PL2_4227_235_PMP_0112_YAF R1S12:6:I.Data.8</t>
  </si>
  <si>
    <t>fbDigital PL2_4227_235_PMP_0112_MAH R1S12:6:I.Data.10</t>
  </si>
  <si>
    <t>fbDigital PL2_4227_235_PMP_0112_YAE R1S12:6:I.Data.11</t>
  </si>
  <si>
    <t>fbDigital PL2_4228_XXX_JS_0804 R1S12:6:I.Data.12</t>
  </si>
  <si>
    <t>fbDigital PL2_4228_XXX_JS_0803 R1S12:6:I.Data.13</t>
  </si>
  <si>
    <t>fbDigital PL2_4228_XXX_ZS_0801 R1S12:6:I.Data.14</t>
  </si>
  <si>
    <t>XIC R1S12:6:I.Data.15 NOP</t>
  </si>
  <si>
    <t>XIC R1S12:7:I.Data.0 OTE PL2_4227_235_PMP_0211_YCI</t>
  </si>
  <si>
    <t>XIC R1S12:7:I.Data.1 OTE PL2_4227_235_PMP_0211_YRI</t>
  </si>
  <si>
    <t>fbDigital PL2_4227_235_PMP_0211_YAF R1S12:7:I.Data.2</t>
  </si>
  <si>
    <t>fbDigital PL2_4227_235_PMP_0211_MAH R1S12:7:I.Data.4</t>
  </si>
  <si>
    <t>fbDigital PL2_4227_235_PMP_0211_YAE R1S12:7:I.Data.5</t>
  </si>
  <si>
    <t>XIC R1S12:7:I.Data.6 OTE PL2_4227_235_PMP_0212_YCI</t>
  </si>
  <si>
    <t>XIC R1S12:7:I.Data.7 OTE PL2_4227_235_PMP_0212_YRI</t>
  </si>
  <si>
    <t>fbDigital PL2_4227_235_PMP_0212_YAF R1S12:7:I.Data.8</t>
  </si>
  <si>
    <t>fbDigital PL2_4227_235_PMP_0212_MAH R1S12:7:I.Data.10</t>
  </si>
  <si>
    <t>fbDigital PL2_4227_235_PMP_0212_YAE R1S12:7:I.Data.11</t>
  </si>
  <si>
    <t>fbDigital PL2_4228_429_UPS_0110_YAN R1S12:7:I.Data.12</t>
  </si>
  <si>
    <t>fbDigital PL2_4228_429_UPS_0110_JSB R1S12:7:I.Data.13</t>
  </si>
  <si>
    <t>fbDigital PL2_4228_429_UPS_0110_YAF R1S12:7:I.Data.14</t>
  </si>
  <si>
    <t>fbDigital PL2_4227_063_HTP_0100 R1S12:7:I.Data.15</t>
  </si>
  <si>
    <t>XIC R1S12:8:I.Data.0 OTE PL2_4227_235_PMP_0311_YCI</t>
  </si>
  <si>
    <t>XIC R1S12:8:I.Data.1 OTE PL2_4227_235_PMP_0311_YRI</t>
  </si>
  <si>
    <t>fbDigital PL2_4227_235_PMP_0311_YAF R1S12:8:I.Data.2</t>
  </si>
  <si>
    <t>fbDigital PL2_4227_235_PMP_0311_MAH R1S12:8:I.Data.4</t>
  </si>
  <si>
    <t>fbDigital PL2_4227_235_PMP_0311_YAE R1S12:8:I.Data.5</t>
  </si>
  <si>
    <t>XIC R1S12:8:I.Data.6 OTE PL2_4227_235_PMP_0312_YCI</t>
  </si>
  <si>
    <t>XIC R1S12:8:I.Data.7 OTE PL2_4227_235_PMP_0312_YRI</t>
  </si>
  <si>
    <t>fbDigital PL2_4227_235_PMP_0312_YAF R1S12:8:I.Data.8</t>
  </si>
  <si>
    <t>fbDigital PL2_4227_235_PMP_0312_MAH R1S12:8:I.Data.10</t>
  </si>
  <si>
    <t>fbDigital PL2_4227_235_PMP_0312_YAE R1S12:8:I.Data.11</t>
  </si>
  <si>
    <t>XIC R1S12:8:I.Data.12 NOP</t>
  </si>
  <si>
    <t>XIC R1S12:8:I.Data.13 NOP</t>
  </si>
  <si>
    <t>XIC R1S12:8:I.Data.14 NOP</t>
  </si>
  <si>
    <t>XIC R1S12:8:I.Data.15 NOP</t>
  </si>
  <si>
    <t>XIC R1S12:9:I.Data.0 NOP</t>
  </si>
  <si>
    <t>XIC R1S12:9:I.Data.1 NOP</t>
  </si>
  <si>
    <t>XIC R1S12:9:I.Data.2 NOP</t>
  </si>
  <si>
    <t>XIC R1S12:9:I.Data.3 NOP</t>
  </si>
  <si>
    <t>XIC R1S12:9:I.Data.4 NOP</t>
  </si>
  <si>
    <t>XIC R1S12:9:I.Data.5 NOP</t>
  </si>
  <si>
    <t>XIC R1S12:9:I.Data.6 NOP</t>
  </si>
  <si>
    <t>XIC R1S12:9:I.Data.7 NOP</t>
  </si>
  <si>
    <t>XIC R1S12:9:I.Data.8 NOP</t>
  </si>
  <si>
    <t>XIC R1S12:9:I.Data.9 NOP</t>
  </si>
  <si>
    <t>XIC R1S12:9:I.Data.10 NOP</t>
  </si>
  <si>
    <t>XIC R1S12:9:I.Data.11 NOP</t>
  </si>
  <si>
    <t>XIC R1S12:9:I.Data.12 NOP</t>
  </si>
  <si>
    <t>XIC R1S12:9:I.Data.13 NOP</t>
  </si>
  <si>
    <t>XIC R1S12:9:I.Data.14 NOP</t>
  </si>
  <si>
    <t>XIC R1S12:9:I.Data.15 NOP</t>
  </si>
  <si>
    <t>XIC PL2_4227_235_PMP_0111_HSS OTE R1S12:11:O.Data.0</t>
  </si>
  <si>
    <t>XIC PL2_4227_235_PMP_0112_HSS OTE R1S12:11:O.Data.1</t>
  </si>
  <si>
    <t>XIC PL2_4227_235_PMP_0211_HSS OTE R1S12:11:O.Data.2</t>
  </si>
  <si>
    <t>XIC PL2_4227_235_PMP_0212_HSS OTE R1S12:11:O.Data.3</t>
  </si>
  <si>
    <t>XIC PL2_4227_235_PMP_0311_HSS OTE R1S12:11:O.Data.4</t>
  </si>
  <si>
    <t>XIC PL2_4227_235_PMP_0312_HSS OTE R1S12:11:O.Data.5</t>
  </si>
  <si>
    <t>XIC R1S12:11:O.Data.6 OTE R1S12:11:O.Data.6</t>
  </si>
  <si>
    <t>XIC R1S12:11:O.Data.7 OTE R1S12:11:O.Data.7</t>
  </si>
  <si>
    <t>XIC R1S12:11:O.Data.8 OTE R1S12:11:O.Data.8</t>
  </si>
  <si>
    <t>XIC R1S12:11:O.Data.9 OTE R1S12:11:O.Data.9</t>
  </si>
  <si>
    <t>XIC R1S12:11:O.Data.10 OTE R1S12:11:O.Data.10</t>
  </si>
  <si>
    <t>XIC R1S12:11:O.Data.11 OTE R1S12:11:O.Data.11</t>
  </si>
  <si>
    <t>XIC R1S12:11:O.Data.12 OTE R1S12:11:O.Data.12</t>
  </si>
  <si>
    <t>XIC R1S12:11:O.Data.13 OTE R1S12:11:O.Data.13</t>
  </si>
  <si>
    <t>XIC R1S12:11:O.Data.14 OTE R1S12:11:O.Data.14</t>
  </si>
  <si>
    <t>XIC R1S12:11:O.Data.15 OTE R1S12:11:O.Data.15</t>
  </si>
  <si>
    <t>MOVE R1S12:1:I.Ch[0].Data PL2_4227_235_PMP_0111_SI</t>
  </si>
  <si>
    <t>MOVE R1S12:1:I.Ch[1].Data PL2_4227_235_PMP_0112_SI</t>
  </si>
  <si>
    <t>fbAnalog PL2_4227_463_AIT_0139_TSS SysClock.o_NewDay R1S12:1:I.Ch[2].Fault 0 R1S12:1:I.Ch[2].Data</t>
  </si>
  <si>
    <t>fbAnalog PL2_4227_450_AIT_0063_PH SysClock.o_NewDay R1S12:1:I.Ch[3].Fault 0 R1S12:1:I.Ch[3].Data</t>
  </si>
  <si>
    <t>fbAnalog PL2_4227_431_AIT_0062_NO3 SysClock.o_NewDay R1S12:1:I.Ch[4].Fault 0 R1S12:1:I.Ch[4].Data</t>
  </si>
  <si>
    <t>MOVE R1S12:2:I.Ch[0].Data PL2_4227_235_PMP_0211_SI</t>
  </si>
  <si>
    <t>MOVE R1S12:2:I.Ch[1].Data PL2_4227_235_PMP_0212_SI</t>
  </si>
  <si>
    <t>fbAnalog PL2_4227_463_AIT_0149_TSS SysClock.o_NewDay R1S12:2:I.Ch[2].Fault 0 R1S12:2:I.Ch[2].Data</t>
  </si>
  <si>
    <t>fbAnalog PL2_4228_XXX_TT_0802 SysClock.o_NewDay R1S12:2:I.Ch[3].Fault 0 R1S12:2:I.Ch[3].Data</t>
  </si>
  <si>
    <t>fbAnalog PL2_4228_461_TT_0201 SysClock.o_NewDay R1S12:2:I.Ch[4].Fault 0 R1S12:2:I.Ch[4].Data</t>
  </si>
  <si>
    <t>MOVE R1S12:3:I.Ch[0].Data PL2_4227_235_PMP_0311_SI</t>
  </si>
  <si>
    <t>MOVE R1S12:3:I.Ch[1].Data PL2_4227_235_PMP_0312_SI</t>
  </si>
  <si>
    <t>fbAnalog PL2_4227_463_AIT_0159_TSS SysClock.o_NewDay R1S12:3:I.Ch[2].Fault 0 R1S12:3:I.Ch[2].Data</t>
  </si>
  <si>
    <t>MOVE PL2_4227_235_PMP_0111_SC R1S12:5:O.Ch[0].Data</t>
  </si>
  <si>
    <t>MOVE PL2_4227_235_PMP_0112_SC R1S12:5:O.Ch[1].Data</t>
  </si>
  <si>
    <t>MOVE PL2_4227_235_PMP_0211_SC R1S12:5:O.Ch[2].Data</t>
  </si>
  <si>
    <t>MOVE PL2_4227_235_PMP_0212_SC R1S12:5:O.Ch[3].Data</t>
  </si>
  <si>
    <t>MOVE PL2_4227_235_PMP_0311_SC R1S12:5:O.Ch[4].Data</t>
  </si>
  <si>
    <t>MOVE PL2_4227_235_PMP_0312_SC R1S12:5:O.Ch[5].Data</t>
  </si>
  <si>
    <t>PL2_4227_235_PMP_0111_TAH</t>
  </si>
  <si>
    <t>PL2_4227_235_PMP_0112_TAH</t>
  </si>
  <si>
    <t>PL2_4227_235_PMP_0211_TAH</t>
  </si>
  <si>
    <t>PL2_4227_235_PMP_0212_TAH</t>
  </si>
  <si>
    <t>PL2_4227_235_PMP_0311_TAH</t>
  </si>
  <si>
    <t>PL2_4227_235_PMP_0312_TAH</t>
  </si>
  <si>
    <t xml:space="preserve">*************************************************************
Rack 1 Slot 6 - Digital Inputs
*************************************************************
Channel 0 - PL2_4227_235_PMP_0111_YCI - Nitrate Recycle Pump No. 1 In Remote  
Channel 1 - PL2_4227_235_PMP_0111_YRI - Nitrate Recycle Pump No. 1 Running  
Channel 2 - PL2_4227_235_PMP_0111_YAF - Nitrate Recycle Pump No. 1 Fault  
Channel 3 - PL2_4227_235_PMP_0111_TAH - Nitrate Recycle Pump No. 1 High Temp  
Channel 4 - PL2_4227_235_PMP_0111_MAH - Nitrate Recycle Pump No. 1 Leak  
Channel 5 - PL2_4227_235_PMP_0111_YAE - Nitrate Recycle Pump No. 1 E-Stop  
Channel 6 - PL2_4227_235_PMP_0112_YCI - Nitrate Recycle Pump No. 2 In Remote  
Channel 7 - PL2_4227_235_PMP_0112_YRI - Nitrate Recycle Pump No. 2 Running  
Channel 8 - PL2_4227_235_PMP_0112_YAF - Nitrate Recycle Pump No. 2 Fault  
Channel 9 - PL2_4227_235_PMP_0112_TAH - Nitrate Recycle Pump No. 2 High Temp  
Channel 10 - PL2_4227_235_PMP_0112_MAH - Nitrate Recycle Pump No. 2 Leak  
Channel 11 - PL2_4227_235_PMP_0112_YAE - Nitrate Recycle Pump No. 2 E-Stop  
Channel 12 - PL2_4228_XXX_JS_0804 - PLC-BNR 120VAC Fail  
Channel 13 - PL2_4228_XXX_JS_0803 - PLC-BNR 24VDC Fail  
Channel 14 - PL2_4228_XXX_ZS_0801 - PLC-BNR Cabinet Intrusion  
Channel 15 -  
</t>
  </si>
  <si>
    <t xml:space="preserve">*************************************************************
Rack 1 Slot 7 - Digital Inputs
*************************************************************
Channel 0 - PL2_4227_235_PMP_0211_YCI - Nitrate Recycle Pump No. 3 In Remote  
Channel 1 - PL2_4227_235_PMP_0211_YRI - Nitrate Recycle Pump No. 3 Running  
Channel 2 - PL2_4227_235_PMP_0211_YAF - Nitrate Recycle Pump No. 3 Fault  
Channel 3 - PL2_4227_235_PMP_0211_TAH - Nitrate Recycle Pump No. 3 High Temp  
Channel 4 - PL2_4227_235_PMP_0211_MAH - Nitrate Recycle Pump No. 3 Leak  
Channel 5 - PL2_4227_235_PMP_0211_YAE - Nitrate Recycle Pump No. 3 E-Stop  
Channel 6 - PL2_4227_235_PMP_0212_YCI - Nitrate Recycle Pump No. 4 In Remote  
Channel 7 - PL2_4227_235_PMP_0212_YRI - Nitrate Recycle Pump No. 4 Running  
Channel 8 - PL2_4227_235_PMP_0212_YAF - Nitrate Recycle Pump No. 4 Fault  
Channel 9 - PL2_4227_235_PMP_0212_TAH - Nitrate Recycle Pump No. 4 High Temp  
Channel 10 - PL2_4227_235_PMP_0212_MAH - Nitrate Recycle Pump No. 4 Leak  
Channel 11 - PL2_4227_235_PMP_0212_YAE - Nitrate Recycle Pump No. 4 E-Stop  
Channel 12 - PL2_4228_429_UPS_0110_YAN - PLC-BNR  UPS Service Required  
Channel 13 - PL2_4228_429_UPS_0110_JSB - PLC-BNR  UPS In Battery Mode  
Channel 14 - PL2_4228_429_UPS_0110_YAF - PLC-BNR  UPS General Alarm  
Channel 15 - PL2_4227_063_HTP_0100 - BNR Heat Trace Fail  
</t>
  </si>
  <si>
    <t xml:space="preserve">*************************************************************
Rack 1 Slot 8 - Digital Inputs
*************************************************************
Channel 0 - PL2_4227_235_PMP_0311_YCI - Nitrate Recycle Pump No. 5 In Remote  
Channel 1 - PL2_4227_235_PMP_0311_YRI - Nitrate Recycle Pump No. 5 Running  
Channel 2 - PL2_4227_235_PMP_0311_YAF - Nitrate Recycle Pump No. 5 Fault  
Channel 3 - PL2_4227_235_PMP_0311_TAH - Nitrate Recycle Pump No. 5 High Temp  
Channel 4 - PL2_4227_235_PMP_0311_MAH - Nitrate Recycle Pump No. 5 Leak  
Channel 5 - PL2_4227_235_PMP_0311_YAE - Nitrate Recycle Pump No. 5 E-Stop  
Channel 6 - PL2_4227_235_PMP_0312_YCI - Nitrate Recycle Pump No. 6 In Remote  
Channel 7 - PL2_4227_235_PMP_0312_YRI - Nitrate Recycle Pump No. 6 Running  
Channel 8 - PL2_4227_235_PMP_0312_YAF - Nitrate Recycle Pump No. 6 Fault  
Channel 9 - PL2_4227_235_PMP_0312_TAH - Nitrate Recycle Pump No. 6 High Temp  
Channel 10 - PL2_4227_235_PMP_0312_MAH - Nitrate Recycle Pump No. 6 Leak  
Channel 11 - PL2_4227_235_PMP_0312_YAE - Nitrate Recycle Pump No. 6 E-Stop  
Channel 12 -  
Channel 13 -  
Channel 14 -  
Channel 15 -  
</t>
  </si>
  <si>
    <t>fbDigital PL2_4227_235_PMP_0111_TAH R1S12:6:I.Data.3</t>
  </si>
  <si>
    <t>fbDigital PL2_4227_235_PMP_0112_TAH R1S12:6:I.Data.9</t>
  </si>
  <si>
    <t>fbDigital PL2_4227_235_PMP_0211_TAH R1S12:7:I.Data.3</t>
  </si>
  <si>
    <t>fbDigital PL2_4227_235_PMP_0212_TAH R1S12:7:I.Data.9</t>
  </si>
  <si>
    <t>fbDigital PL2_4227_235_PMP_0311_TAH R1S12:8:I.Data.3</t>
  </si>
  <si>
    <t>fbDigital PL2_4227_235_PMP_0312_TAH R1S12:8:I.Data.9</t>
  </si>
  <si>
    <t>XIC Always_False OTE PL2_4228_321_BLR_0213_YCI</t>
  </si>
  <si>
    <t>XIC Always_False OTE PL2_4228_321_BLR_0213_YRI</t>
  </si>
  <si>
    <t>XIC Always_False OTE PL2_4228_321_BLR_0223_YCI</t>
  </si>
  <si>
    <t>XIC Always_False OTE PL2_4228_321_BLR_0223_YRI</t>
  </si>
  <si>
    <t>XIC PL2_4228_321_BLR_0220_HSS OTE Communication_Command_</t>
  </si>
  <si>
    <t>XIC Always_False OTE PL2_4228_321_BLR_0233_YCI</t>
  </si>
  <si>
    <t>XIC Always_False OTE PL2_4228_321_BLR_0233_YRI</t>
  </si>
  <si>
    <t>XIC Always_False OTE PL2_4228_321_BLR_0243_YCI</t>
  </si>
  <si>
    <t>XIC Always_False OTE PL2_4228_321_BLR_0243_YRI</t>
  </si>
  <si>
    <t>XIC PL2_4228_321_BLR_0240_HSS OTE Communication_Command_</t>
  </si>
  <si>
    <t>XIC Always_False OTE PL2_4228_321_BLR_0253_YCI</t>
  </si>
  <si>
    <t>XIC Always_False OTE PL2_4228_321_BLR_0253_YRI</t>
  </si>
  <si>
    <t>XIC Always_False OTE PL2_4228_321_BLR_0263_YCI</t>
  </si>
  <si>
    <t>XIC Always_False OTE PL2_4228_321_BLR_0263_YRI</t>
  </si>
  <si>
    <t>XIC PL2_4228_321_BLR_0260_HSS OTE Communication_Command_</t>
  </si>
  <si>
    <t>XIC Always_False OTE PL2_4228_321_BLR_0273_YCI</t>
  </si>
  <si>
    <t>XIC Always_False OTE PL2_4228_321_BLR_0273_YRI</t>
  </si>
  <si>
    <t>XIC Always_False OTE PL2_4228_321_BLR_0283_YCI</t>
  </si>
  <si>
    <t>XIC Always_False OTE PL2_4228_321_BLR_0283_YRI</t>
  </si>
  <si>
    <t>XIC PL2_4228_321_BLR_0280_HSS OTE Communication_Command_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</si>
</sst>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1" fillId="3" borderId="1" xfId="0" applyFont="1" applyFill="1" applyBorder="1"/>
    <xf numFmtId="0" fontId="1" fillId="3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right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right"/>
    </xf>
    <xf numFmtId="0" fontId="0" fillId="4" borderId="0" xfId="0" applyFill="1" applyBorder="1"/>
    <xf numFmtId="0" fontId="0" fillId="4" borderId="0" xfId="0" applyFill="1" applyBorder="1" applyAlignment="1">
      <alignment horizontal="center"/>
    </xf>
    <xf numFmtId="0" fontId="5" fillId="0" borderId="0" xfId="0" applyFont="1"/>
    <xf numFmtId="49" fontId="1" fillId="3" borderId="1" xfId="0" applyNumberFormat="1" applyFont="1" applyFill="1" applyBorder="1"/>
    <xf numFmtId="49" fontId="0" fillId="0" borderId="0" xfId="0" applyNumberFormat="1"/>
    <xf numFmtId="0" fontId="6" fillId="0" borderId="0" xfId="0" applyFont="1"/>
    <xf numFmtId="0" fontId="6" fillId="0" borderId="0" xfId="0" applyFont="1" applyAlignment="1">
      <alignment horizontal="center" vertical="center"/>
    </xf>
    <xf numFmtId="0" fontId="7" fillId="0" borderId="0" xfId="0" applyFont="1"/>
    <xf numFmtId="0" fontId="4" fillId="5" borderId="0" xfId="0" applyFont="1" applyFill="1"/>
    <xf numFmtId="0" fontId="1" fillId="3" borderId="3" xfId="0" applyFont="1" applyFill="1" applyBorder="1"/>
    <xf numFmtId="0" fontId="8" fillId="5" borderId="0" xfId="0" applyFont="1" applyFill="1" applyAlignment="1">
      <alignment vertical="center"/>
    </xf>
    <xf numFmtId="0" fontId="9" fillId="0" borderId="0" xfId="0" applyFont="1" applyAlignment="1">
      <alignment vertical="center"/>
    </xf>
    <xf numFmtId="0" fontId="10" fillId="0" borderId="0" xfId="0" applyFont="1" applyFill="1" applyAlignment="1">
      <alignment vertical="center"/>
    </xf>
    <xf numFmtId="0" fontId="1" fillId="3" borderId="0" xfId="0" applyFont="1" applyFill="1" applyAlignment="1">
      <alignment horizontal="center"/>
    </xf>
    <xf numFmtId="0" fontId="0" fillId="0" borderId="0" xfId="0" applyAlignment="1"/>
    <xf numFmtId="0" fontId="0" fillId="0" borderId="0" xfId="0" applyAlignment="1">
      <alignment vertical="center"/>
    </xf>
    <xf numFmtId="0" fontId="10" fillId="3" borderId="0" xfId="0" applyFont="1" applyFill="1" applyAlignment="1">
      <alignment vertical="center"/>
    </xf>
    <xf numFmtId="0" fontId="0" fillId="3" borderId="0" xfId="0" applyFill="1"/>
    <xf numFmtId="0" fontId="8" fillId="5" borderId="0" xfId="0" applyFont="1" applyFill="1" applyAlignment="1">
      <alignment horizontal="center" vertical="center" wrapText="1"/>
    </xf>
    <xf numFmtId="0" fontId="2" fillId="0" borderId="0" xfId="0" applyFont="1" applyFill="1" applyAlignment="1">
      <alignment horizontal="center" vertical="center" wrapText="1"/>
    </xf>
    <xf numFmtId="0" fontId="0" fillId="0" borderId="0" xfId="0" applyNumberFormat="1" applyAlignment="1">
      <alignment vertical="top" wrapText="1"/>
    </xf>
    <xf numFmtId="0" fontId="2" fillId="0" borderId="4" xfId="0" applyFont="1" applyFill="1" applyBorder="1" applyAlignment="1">
      <alignment horizontal="center" vertical="center" wrapText="1"/>
    </xf>
  </cellXfs>
  <cellStyles count="1">
    <cellStyle name="Normal" xfId="0" builtinId="0"/>
  </cellStyles>
  <dxfs count="4">
    <dxf>
      <numFmt numFmtId="30" formatCode="@"/>
    </dxf>
    <dxf>
      <numFmt numFmtId="30" formatCode="@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4" tint="0.5999938962981048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742950</xdr:colOff>
          <xdr:row>1</xdr:row>
          <xdr:rowOff>57150</xdr:rowOff>
        </xdr:from>
        <xdr:to>
          <xdr:col>6</xdr:col>
          <xdr:colOff>342900</xdr:colOff>
          <xdr:row>3</xdr:row>
          <xdr:rowOff>47625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ChStat Tags/Code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428625</xdr:colOff>
          <xdr:row>1</xdr:row>
          <xdr:rowOff>57150</xdr:rowOff>
        </xdr:from>
        <xdr:to>
          <xdr:col>9</xdr:col>
          <xdr:colOff>66675</xdr:colOff>
          <xdr:row>3</xdr:row>
          <xdr:rowOff>38100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IORaw Tags/Code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</xdr:row>
          <xdr:rowOff>57150</xdr:rowOff>
        </xdr:from>
        <xdr:to>
          <xdr:col>11</xdr:col>
          <xdr:colOff>381000</xdr:colOff>
          <xdr:row>3</xdr:row>
          <xdr:rowOff>38100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AOI Tags/Code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457200</xdr:colOff>
          <xdr:row>1</xdr:row>
          <xdr:rowOff>57150</xdr:rowOff>
        </xdr:from>
        <xdr:to>
          <xdr:col>14</xdr:col>
          <xdr:colOff>95250</xdr:colOff>
          <xdr:row>3</xdr:row>
          <xdr:rowOff>38100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Collect Tags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171450</xdr:colOff>
          <xdr:row>1</xdr:row>
          <xdr:rowOff>57150</xdr:rowOff>
        </xdr:from>
        <xdr:to>
          <xdr:col>16</xdr:col>
          <xdr:colOff>419100</xdr:colOff>
          <xdr:row>3</xdr:row>
          <xdr:rowOff>38100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Tags to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466725</xdr:colOff>
          <xdr:row>3</xdr:row>
          <xdr:rowOff>133350</xdr:rowOff>
        </xdr:from>
        <xdr:to>
          <xdr:col>14</xdr:col>
          <xdr:colOff>104775</xdr:colOff>
          <xdr:row>5</xdr:row>
          <xdr:rowOff>114300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1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Tags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695325</xdr:colOff>
          <xdr:row>3</xdr:row>
          <xdr:rowOff>133350</xdr:rowOff>
        </xdr:from>
        <xdr:to>
          <xdr:col>3</xdr:col>
          <xdr:colOff>666750</xdr:colOff>
          <xdr:row>5</xdr:row>
          <xdr:rowOff>123825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1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ModStat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742950</xdr:colOff>
          <xdr:row>3</xdr:row>
          <xdr:rowOff>123825</xdr:rowOff>
        </xdr:from>
        <xdr:to>
          <xdr:col>6</xdr:col>
          <xdr:colOff>342900</xdr:colOff>
          <xdr:row>5</xdr:row>
          <xdr:rowOff>123825</xdr:rowOff>
        </xdr:to>
        <xdr:sp macro="" textlink="">
          <xdr:nvSpPr>
            <xdr:cNvPr id="5132" name="Button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1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ChStat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428625</xdr:colOff>
          <xdr:row>3</xdr:row>
          <xdr:rowOff>123825</xdr:rowOff>
        </xdr:from>
        <xdr:to>
          <xdr:col>9</xdr:col>
          <xdr:colOff>66675</xdr:colOff>
          <xdr:row>5</xdr:row>
          <xdr:rowOff>123825</xdr:rowOff>
        </xdr:to>
        <xdr:sp macro="" textlink="">
          <xdr:nvSpPr>
            <xdr:cNvPr id="5133" name="Button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1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IORaw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3</xdr:row>
          <xdr:rowOff>133350</xdr:rowOff>
        </xdr:from>
        <xdr:to>
          <xdr:col>11</xdr:col>
          <xdr:colOff>381000</xdr:colOff>
          <xdr:row>5</xdr:row>
          <xdr:rowOff>123825</xdr:rowOff>
        </xdr:to>
        <xdr:sp macro="" textlink="">
          <xdr:nvSpPr>
            <xdr:cNvPr id="5134" name="Button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1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AOI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171450</xdr:colOff>
          <xdr:row>3</xdr:row>
          <xdr:rowOff>133350</xdr:rowOff>
        </xdr:from>
        <xdr:to>
          <xdr:col>16</xdr:col>
          <xdr:colOff>419100</xdr:colOff>
          <xdr:row>5</xdr:row>
          <xdr:rowOff>114300</xdr:rowOff>
        </xdr:to>
        <xdr:sp macro="" textlink="">
          <xdr:nvSpPr>
            <xdr:cNvPr id="5136" name="Button 16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1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</xdr:row>
          <xdr:rowOff>57150</xdr:rowOff>
        </xdr:from>
        <xdr:to>
          <xdr:col>1</xdr:col>
          <xdr:colOff>638175</xdr:colOff>
          <xdr:row>3</xdr:row>
          <xdr:rowOff>47625</xdr:rowOff>
        </xdr:to>
        <xdr:sp macro="" textlink="">
          <xdr:nvSpPr>
            <xdr:cNvPr id="5137" name="Button 17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1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Controller Tags/Code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3</xdr:row>
          <xdr:rowOff>123825</xdr:rowOff>
        </xdr:from>
        <xdr:to>
          <xdr:col>1</xdr:col>
          <xdr:colOff>638175</xdr:colOff>
          <xdr:row>5</xdr:row>
          <xdr:rowOff>123825</xdr:rowOff>
        </xdr:to>
        <xdr:sp macro="" textlink="">
          <xdr:nvSpPr>
            <xdr:cNvPr id="5138" name="Button 18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1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Controller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704850</xdr:colOff>
          <xdr:row>1</xdr:row>
          <xdr:rowOff>57150</xdr:rowOff>
        </xdr:from>
        <xdr:to>
          <xdr:col>3</xdr:col>
          <xdr:colOff>676275</xdr:colOff>
          <xdr:row>3</xdr:row>
          <xdr:rowOff>47625</xdr:rowOff>
        </xdr:to>
        <xdr:sp macro="" textlink="">
          <xdr:nvSpPr>
            <xdr:cNvPr id="5141" name="Button 21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1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ModStat Tags/Code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D147E5E-3ACE-4362-8C11-8A17777E86E1}" name="Table1" displayName="Table1" ref="A1:N426" totalsRowShown="0" headerRowDxfId="3">
  <autoFilter ref="A1:N426" xr:uid="{2D147E5E-3ACE-4362-8C11-8A17777E86E1}"/>
  <sortState xmlns:xlrd2="http://schemas.microsoft.com/office/spreadsheetml/2017/richdata2" ref="A2:N423">
    <sortCondition ref="N1:N423"/>
  </sortState>
  <tableColumns count="14">
    <tableColumn id="1" xr3:uid="{55C71AC2-0131-4090-9581-6F145302544E}" name="TYPE"/>
    <tableColumn id="2" xr3:uid="{37368C78-716C-4516-9D38-B76B76B75A7F}" name="SCOPE"/>
    <tableColumn id="3" xr3:uid="{4F44F1D3-2CAD-4097-A9AD-FEA68DFA8E59}" name="Facility"/>
    <tableColumn id="4" xr3:uid="{245BBA77-D6B7-46D2-8755-5B636D561440}" name="Location" dataDxfId="2"/>
    <tableColumn id="5" xr3:uid="{F7C59604-1401-46F0-854A-5DB5FD259005}" name="Asset" dataDxfId="1"/>
    <tableColumn id="6" xr3:uid="{E1E57F1D-343F-47D1-9174-C4739DFE9A07}" name="Type2"/>
    <tableColumn id="7" xr3:uid="{4C9EFCEF-6450-4783-97C9-6E3D1D3630B9}" name="Loop" dataDxfId="0"/>
    <tableColumn id="8" xr3:uid="{E231730E-DEDB-4E6C-83A6-49589287DA1D}" name="ISA"/>
    <tableColumn id="9" xr3:uid="{665AF096-DC78-44B7-B19F-AAEF1C877DCD}" name="NAME">
      <calculatedColumnFormula>_xlfn.CONCAT(C2,"_",D2,"_",_xlfn.CONCAT(E2, "_"),F2,"_",G2, IF(ISBLANK(H2), "", _xlfn.CONCAT("_",H2)))</calculatedColumnFormula>
    </tableColumn>
    <tableColumn id="10" xr3:uid="{DC2112FD-BFA6-4942-9B40-880A27EDD810}" name="DESCRIPTION"/>
    <tableColumn id="11" xr3:uid="{F559A76B-7819-436B-8369-7984F59EAB2E}" name="DATATYPE"/>
    <tableColumn id="12" xr3:uid="{7689CEB4-F9C9-4533-B5F4-1259A2D704A7}" name="SPECIFIER"/>
    <tableColumn id="13" xr3:uid="{62AFD82B-9335-4209-B1B6-4BB855359D58}" name="ATTRIBUTES"/>
    <tableColumn id="14" xr3:uid="{FEFAA369-7195-455F-9437-FDA9CA4666E6}" name="CSV Text">
      <calculatedColumnFormula>_xlfn.CONCAT(A2, ",", B2, ",", I2, ",""", J2, """,""", K2, """,""", L2, """,""", M2, """")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CDC3B-8484-49C4-B6A5-14BEA6000F9B}">
  <sheetPr codeName="Sheet5"/>
  <dimension ref="A1:Q22"/>
  <sheetViews>
    <sheetView tabSelected="1" workbookViewId="0">
      <pane ySplit="7" topLeftCell="A8" activePane="bottomLeft" state="frozen"/>
      <selection pane="bottomLeft" activeCell="G25" sqref="G25"/>
    </sheetView>
  </sheetViews>
  <sheetFormatPr defaultRowHeight="15" x14ac:dyDescent="0.25"/>
  <cols>
    <col min="1" max="1" width="13.28515625" customWidth="1"/>
    <col min="2" max="2" width="13.28515625" style="6" customWidth="1"/>
    <col min="3" max="3" width="9.140625" style="6"/>
    <col min="4" max="4" width="11.7109375" style="6" bestFit="1" customWidth="1"/>
    <col min="5" max="5" width="7.140625" style="6" customWidth="1"/>
  </cols>
  <sheetData>
    <row r="1" spans="1:17" x14ac:dyDescent="0.25">
      <c r="A1" s="9" t="s">
        <v>10</v>
      </c>
      <c r="B1" s="7" t="s">
        <v>621</v>
      </c>
      <c r="C1" s="9" t="s">
        <v>75</v>
      </c>
      <c r="D1" s="6" t="s">
        <v>622</v>
      </c>
    </row>
    <row r="2" spans="1:17" x14ac:dyDescent="0.25">
      <c r="A2" s="10"/>
      <c r="B2" s="11"/>
      <c r="C2" s="11"/>
      <c r="D2" s="11"/>
      <c r="E2" s="11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</row>
    <row r="3" spans="1:17" x14ac:dyDescent="0.25">
      <c r="A3" s="10"/>
      <c r="B3" s="11"/>
      <c r="C3" s="11"/>
      <c r="D3" s="11"/>
      <c r="E3" s="11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</row>
    <row r="4" spans="1:17" x14ac:dyDescent="0.25">
      <c r="A4" s="10"/>
      <c r="B4" s="11"/>
      <c r="C4" s="11"/>
      <c r="D4" s="11"/>
      <c r="E4" s="11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</row>
    <row r="5" spans="1:17" x14ac:dyDescent="0.25">
      <c r="A5" s="10"/>
      <c r="B5" s="11"/>
      <c r="C5" s="11"/>
      <c r="D5" s="11"/>
      <c r="E5" s="11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</row>
    <row r="6" spans="1:17" x14ac:dyDescent="0.25">
      <c r="A6" s="10"/>
      <c r="B6" s="11"/>
      <c r="C6" s="11"/>
      <c r="D6" s="11"/>
      <c r="E6" s="11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</row>
    <row r="7" spans="1:17" x14ac:dyDescent="0.25">
      <c r="A7" s="3" t="s">
        <v>620</v>
      </c>
      <c r="B7" s="8" t="s">
        <v>0</v>
      </c>
      <c r="C7" s="4" t="s">
        <v>1</v>
      </c>
      <c r="D7" s="4" t="s">
        <v>23</v>
      </c>
      <c r="E7" s="4" t="s">
        <v>3</v>
      </c>
    </row>
    <row r="8" spans="1:17" x14ac:dyDescent="0.25">
      <c r="B8" s="6" t="s">
        <v>4</v>
      </c>
      <c r="C8" s="6">
        <v>2</v>
      </c>
      <c r="D8" s="6" t="s">
        <v>85</v>
      </c>
    </row>
    <row r="9" spans="1:17" x14ac:dyDescent="0.25">
      <c r="B9" s="6" t="s">
        <v>4</v>
      </c>
      <c r="C9" s="6">
        <v>3</v>
      </c>
      <c r="D9" s="6" t="s">
        <v>86</v>
      </c>
    </row>
    <row r="10" spans="1:17" x14ac:dyDescent="0.25">
      <c r="B10" s="6" t="s">
        <v>4</v>
      </c>
      <c r="C10" s="6">
        <v>5</v>
      </c>
      <c r="D10" s="6" t="s">
        <v>87</v>
      </c>
      <c r="E10" s="6" t="s">
        <v>5</v>
      </c>
    </row>
    <row r="11" spans="1:17" x14ac:dyDescent="0.25">
      <c r="B11" s="6" t="s">
        <v>4</v>
      </c>
      <c r="C11" s="6">
        <v>6</v>
      </c>
      <c r="D11" s="6" t="s">
        <v>84</v>
      </c>
      <c r="E11" s="6" t="s">
        <v>5</v>
      </c>
    </row>
    <row r="12" spans="1:17" x14ac:dyDescent="0.25">
      <c r="B12" s="6" t="s">
        <v>4</v>
      </c>
      <c r="C12" s="6">
        <v>7</v>
      </c>
      <c r="D12" s="6" t="s">
        <v>88</v>
      </c>
      <c r="E12" s="6" t="s">
        <v>5</v>
      </c>
    </row>
    <row r="13" spans="1:17" x14ac:dyDescent="0.25">
      <c r="B13" s="6" t="s">
        <v>4</v>
      </c>
      <c r="C13" s="6">
        <v>8</v>
      </c>
      <c r="D13" s="6" t="s">
        <v>89</v>
      </c>
      <c r="E13" s="6" t="s">
        <v>5</v>
      </c>
    </row>
    <row r="14" spans="1:17" x14ac:dyDescent="0.25">
      <c r="B14" s="6" t="s">
        <v>4</v>
      </c>
      <c r="C14" s="6">
        <v>9</v>
      </c>
      <c r="D14" s="6" t="s">
        <v>90</v>
      </c>
      <c r="E14" s="6" t="s">
        <v>5</v>
      </c>
    </row>
    <row r="15" spans="1:17" x14ac:dyDescent="0.25">
      <c r="B15" s="6" t="s">
        <v>4</v>
      </c>
      <c r="C15" s="6">
        <v>10</v>
      </c>
      <c r="D15" s="6" t="s">
        <v>91</v>
      </c>
      <c r="E15" s="6" t="s">
        <v>5</v>
      </c>
    </row>
    <row r="16" spans="1:17" x14ac:dyDescent="0.25">
      <c r="A16" s="6" t="s">
        <v>93</v>
      </c>
      <c r="B16" s="6" t="s">
        <v>92</v>
      </c>
      <c r="C16" s="6">
        <v>0</v>
      </c>
      <c r="D16" s="6" t="s">
        <v>93</v>
      </c>
    </row>
    <row r="17" spans="1:5" x14ac:dyDescent="0.25">
      <c r="A17" s="6" t="s">
        <v>93</v>
      </c>
      <c r="B17" s="6" t="s">
        <v>92</v>
      </c>
      <c r="C17" s="6">
        <v>2</v>
      </c>
      <c r="D17" s="6" t="s">
        <v>94</v>
      </c>
      <c r="E17" s="6" t="s">
        <v>6</v>
      </c>
    </row>
    <row r="18" spans="1:5" x14ac:dyDescent="0.25">
      <c r="A18" s="6" t="s">
        <v>93</v>
      </c>
      <c r="B18" s="6" t="s">
        <v>92</v>
      </c>
      <c r="C18" s="6">
        <v>3</v>
      </c>
      <c r="D18" s="6" t="s">
        <v>95</v>
      </c>
      <c r="E18" s="6" t="s">
        <v>6</v>
      </c>
    </row>
    <row r="19" spans="1:5" x14ac:dyDescent="0.25">
      <c r="A19" s="6" t="s">
        <v>93</v>
      </c>
      <c r="B19" s="6" t="s">
        <v>92</v>
      </c>
      <c r="C19" s="6">
        <v>5</v>
      </c>
      <c r="D19" s="6" t="s">
        <v>96</v>
      </c>
      <c r="E19" s="6" t="s">
        <v>7</v>
      </c>
    </row>
    <row r="20" spans="1:5" x14ac:dyDescent="0.25">
      <c r="A20" s="6" t="s">
        <v>93</v>
      </c>
      <c r="B20" s="6" t="s">
        <v>92</v>
      </c>
      <c r="C20" s="6">
        <v>6</v>
      </c>
      <c r="D20" s="6" t="s">
        <v>97</v>
      </c>
      <c r="E20" s="6" t="s">
        <v>7</v>
      </c>
    </row>
    <row r="21" spans="1:5" x14ac:dyDescent="0.25">
      <c r="A21" s="6" t="s">
        <v>93</v>
      </c>
      <c r="B21" s="6" t="s">
        <v>92</v>
      </c>
      <c r="C21" s="6">
        <v>7</v>
      </c>
      <c r="D21" s="6" t="s">
        <v>98</v>
      </c>
      <c r="E21" s="6" t="s">
        <v>7</v>
      </c>
    </row>
    <row r="22" spans="1:5" x14ac:dyDescent="0.25">
      <c r="A22" s="6" t="s">
        <v>93</v>
      </c>
      <c r="B22" s="6" t="s">
        <v>92</v>
      </c>
      <c r="C22" s="6">
        <v>10</v>
      </c>
      <c r="D22" s="6" t="s">
        <v>99</v>
      </c>
      <c r="E22" s="6" t="s">
        <v>8</v>
      </c>
    </row>
  </sheetData>
  <phoneticPr fontId="2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ChStatCode">
                <anchor moveWithCells="1" sizeWithCells="1">
                  <from>
                    <xdr:col>3</xdr:col>
                    <xdr:colOff>742950</xdr:colOff>
                    <xdr:row>1</xdr:row>
                    <xdr:rowOff>57150</xdr:rowOff>
                  </from>
                  <to>
                    <xdr:col>6</xdr:col>
                    <xdr:colOff>342900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IORawCode">
                <anchor moveWithCells="1" sizeWithCells="1">
                  <from>
                    <xdr:col>6</xdr:col>
                    <xdr:colOff>428625</xdr:colOff>
                    <xdr:row>1</xdr:row>
                    <xdr:rowOff>57150</xdr:rowOff>
                  </from>
                  <to>
                    <xdr:col>9</xdr:col>
                    <xdr:colOff>66675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6" name="Button 5">
              <controlPr defaultSize="0" print="0" autoFill="0" autoPict="0" macro="[0]!AOICode">
                <anchor moveWithCells="1" sizeWithCells="1">
                  <from>
                    <xdr:col>9</xdr:col>
                    <xdr:colOff>133350</xdr:colOff>
                    <xdr:row>1</xdr:row>
                    <xdr:rowOff>57150</xdr:rowOff>
                  </from>
                  <to>
                    <xdr:col>11</xdr:col>
                    <xdr:colOff>381000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7" name="Button 6">
              <controlPr defaultSize="0" print="0" autoFill="0" autoPict="0" macro="[0]!CollectTags">
                <anchor moveWithCells="1" sizeWithCells="1">
                  <from>
                    <xdr:col>11</xdr:col>
                    <xdr:colOff>457200</xdr:colOff>
                    <xdr:row>1</xdr:row>
                    <xdr:rowOff>57150</xdr:rowOff>
                  </from>
                  <to>
                    <xdr:col>14</xdr:col>
                    <xdr:colOff>95250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8" name="Button 7">
              <controlPr defaultSize="0" print="0" autoFill="0" autoPict="0" macro="[0]!ExportToCSV">
                <anchor moveWithCells="1" sizeWithCells="1">
                  <from>
                    <xdr:col>14</xdr:col>
                    <xdr:colOff>171450</xdr:colOff>
                    <xdr:row>1</xdr:row>
                    <xdr:rowOff>57150</xdr:rowOff>
                  </from>
                  <to>
                    <xdr:col>16</xdr:col>
                    <xdr:colOff>419100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9" name="Button 9">
              <controlPr defaultSize="0" print="0" autoFill="0" autoPict="0" macro="[0]!ClearTags">
                <anchor moveWithCells="1" sizeWithCells="1">
                  <from>
                    <xdr:col>11</xdr:col>
                    <xdr:colOff>466725</xdr:colOff>
                    <xdr:row>3</xdr:row>
                    <xdr:rowOff>133350</xdr:rowOff>
                  </from>
                  <to>
                    <xdr:col>14</xdr:col>
                    <xdr:colOff>104775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0" name="Button 11">
              <controlPr defaultSize="0" print="0" autoFill="0" autoPict="0" macro="[0]!ClearModStat">
                <anchor moveWithCells="1" sizeWithCells="1">
                  <from>
                    <xdr:col>1</xdr:col>
                    <xdr:colOff>695325</xdr:colOff>
                    <xdr:row>3</xdr:row>
                    <xdr:rowOff>133350</xdr:rowOff>
                  </from>
                  <to>
                    <xdr:col>3</xdr:col>
                    <xdr:colOff>666750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11" name="Button 12">
              <controlPr defaultSize="0" print="0" autoFill="0" autoPict="0" macro="[0]!ClearChStat">
                <anchor moveWithCells="1" sizeWithCells="1">
                  <from>
                    <xdr:col>3</xdr:col>
                    <xdr:colOff>742950</xdr:colOff>
                    <xdr:row>3</xdr:row>
                    <xdr:rowOff>123825</xdr:rowOff>
                  </from>
                  <to>
                    <xdr:col>6</xdr:col>
                    <xdr:colOff>342900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12" name="Button 13">
              <controlPr defaultSize="0" print="0" autoFill="0" autoPict="0" macro="[0]!ClearIORaw">
                <anchor moveWithCells="1" sizeWithCells="1">
                  <from>
                    <xdr:col>6</xdr:col>
                    <xdr:colOff>428625</xdr:colOff>
                    <xdr:row>3</xdr:row>
                    <xdr:rowOff>123825</xdr:rowOff>
                  </from>
                  <to>
                    <xdr:col>9</xdr:col>
                    <xdr:colOff>66675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13" name="Button 14">
              <controlPr defaultSize="0" print="0" autoFill="0" autoPict="0" macro="[0]!ClearAOI">
                <anchor moveWithCells="1" sizeWithCells="1">
                  <from>
                    <xdr:col>9</xdr:col>
                    <xdr:colOff>133350</xdr:colOff>
                    <xdr:row>3</xdr:row>
                    <xdr:rowOff>133350</xdr:rowOff>
                  </from>
                  <to>
                    <xdr:col>11</xdr:col>
                    <xdr:colOff>381000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6" r:id="rId14" name="Button 16">
              <controlPr defaultSize="0" print="0" autoFill="0" autoPict="0" macro="[0]!ClearTags">
                <anchor moveWithCells="1" sizeWithCells="1">
                  <from>
                    <xdr:col>14</xdr:col>
                    <xdr:colOff>171450</xdr:colOff>
                    <xdr:row>3</xdr:row>
                    <xdr:rowOff>133350</xdr:rowOff>
                  </from>
                  <to>
                    <xdr:col>16</xdr:col>
                    <xdr:colOff>419100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7" r:id="rId15" name="Button 17">
              <controlPr defaultSize="0" print="0" autoFill="0" autoPict="0" macro="[0]!CtrllerCode">
                <anchor moveWithCells="1" sizeWithCells="1">
                  <from>
                    <xdr:col>0</xdr:col>
                    <xdr:colOff>66675</xdr:colOff>
                    <xdr:row>1</xdr:row>
                    <xdr:rowOff>57150</xdr:rowOff>
                  </from>
                  <to>
                    <xdr:col>1</xdr:col>
                    <xdr:colOff>638175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8" r:id="rId16" name="Button 18">
              <controlPr defaultSize="0" print="0" autoFill="0" autoPict="0" macro="[0]!ClearController">
                <anchor moveWithCells="1" sizeWithCells="1">
                  <from>
                    <xdr:col>0</xdr:col>
                    <xdr:colOff>66675</xdr:colOff>
                    <xdr:row>3</xdr:row>
                    <xdr:rowOff>123825</xdr:rowOff>
                  </from>
                  <to>
                    <xdr:col>1</xdr:col>
                    <xdr:colOff>638175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1" r:id="rId17" name="Button 21">
              <controlPr defaultSize="0" print="0" autoFill="0" autoPict="0" macro="[0]!ModStatCode">
                <anchor moveWithCells="1" sizeWithCells="1">
                  <from>
                    <xdr:col>1</xdr:col>
                    <xdr:colOff>704850</xdr:colOff>
                    <xdr:row>1</xdr:row>
                    <xdr:rowOff>57150</xdr:rowOff>
                  </from>
                  <to>
                    <xdr:col>3</xdr:col>
                    <xdr:colOff>676275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702CFA-667A-40EB-AAE1-242E4B31C8A6}">
  <sheetPr codeName="Sheet4"/>
  <dimension ref="A1:O496"/>
  <sheetViews>
    <sheetView zoomScale="70" zoomScaleNormal="70" workbookViewId="0">
      <pane ySplit="3" topLeftCell="A4" activePane="bottomLeft" state="frozen"/>
      <selection pane="bottomLeft" activeCell="I448" sqref="I448"/>
    </sheetView>
  </sheetViews>
  <sheetFormatPr defaultRowHeight="15" x14ac:dyDescent="0.25"/>
  <cols>
    <col min="1" max="1" width="11.7109375" bestFit="1" customWidth="1"/>
    <col min="2" max="2" width="10" bestFit="1" customWidth="1"/>
    <col min="3" max="3" width="6.42578125" bestFit="1" customWidth="1"/>
    <col min="4" max="5" width="6.42578125" customWidth="1"/>
    <col min="6" max="6" width="34.42578125" bestFit="1" customWidth="1"/>
    <col min="7" max="7" width="26.42578125" customWidth="1"/>
    <col min="8" max="8" width="22.140625" bestFit="1" customWidth="1"/>
    <col min="9" max="10" width="17.140625" customWidth="1"/>
    <col min="11" max="11" width="92" bestFit="1" customWidth="1"/>
    <col min="12" max="12" width="66.7109375" style="22" customWidth="1"/>
    <col min="13" max="13" width="52.42578125" style="17" bestFit="1" customWidth="1"/>
    <col min="14" max="14" width="64.85546875" style="21" bestFit="1" customWidth="1"/>
    <col min="15" max="15" width="85.7109375" bestFit="1" customWidth="1"/>
  </cols>
  <sheetData>
    <row r="1" spans="1:15" x14ac:dyDescent="0.25">
      <c r="A1" s="5" t="s">
        <v>10</v>
      </c>
      <c r="B1" s="2" t="s">
        <v>83</v>
      </c>
      <c r="C1" s="5" t="s">
        <v>75</v>
      </c>
      <c r="D1" s="6">
        <v>1756</v>
      </c>
      <c r="E1" s="6"/>
      <c r="L1"/>
      <c r="M1" s="12"/>
      <c r="N1"/>
    </row>
    <row r="2" spans="1:15" x14ac:dyDescent="0.25">
      <c r="L2"/>
      <c r="M2" s="12"/>
      <c r="N2"/>
    </row>
    <row r="3" spans="1:15" x14ac:dyDescent="0.25">
      <c r="A3" s="3" t="s">
        <v>620</v>
      </c>
      <c r="B3" s="3" t="s">
        <v>0</v>
      </c>
      <c r="C3" s="4" t="s">
        <v>1</v>
      </c>
      <c r="D3" s="4" t="s">
        <v>2</v>
      </c>
      <c r="E3" s="3" t="s">
        <v>3</v>
      </c>
      <c r="F3" s="3" t="s">
        <v>9</v>
      </c>
      <c r="G3" s="3" t="s">
        <v>15</v>
      </c>
      <c r="H3" s="3" t="s">
        <v>16</v>
      </c>
      <c r="I3" s="3" t="s">
        <v>17</v>
      </c>
      <c r="J3" s="3" t="s">
        <v>11</v>
      </c>
      <c r="K3" s="3" t="s">
        <v>995</v>
      </c>
      <c r="L3" s="3" t="s">
        <v>999</v>
      </c>
      <c r="M3" s="3" t="s">
        <v>996</v>
      </c>
      <c r="N3" s="3" t="s">
        <v>997</v>
      </c>
      <c r="O3" s="19" t="s">
        <v>998</v>
      </c>
    </row>
    <row r="4" spans="1:15" ht="15" customHeight="1" x14ac:dyDescent="0.25">
      <c r="B4" t="s">
        <v>1785</v>
      </c>
      <c r="C4" s="1">
        <v>6</v>
      </c>
      <c r="D4" s="1">
        <v>0</v>
      </c>
      <c r="E4" t="s">
        <v>5</v>
      </c>
      <c r="F4" t="s">
        <v>945</v>
      </c>
      <c r="G4" t="s">
        <v>624</v>
      </c>
      <c r="H4" t="s">
        <v>633</v>
      </c>
      <c r="J4" t="s">
        <v>44</v>
      </c>
      <c r="K4" t="s">
        <v>1786</v>
      </c>
      <c r="L4" s="31" t="s">
        <v>1885</v>
      </c>
      <c r="M4" s="18" t="str">
        <f>IF(B4 = "P2P",
          "Real P2P Condition",
IF(B4 = "Dummy P2P",
          IF(E4 = "DI",
                    IF(J4 = "fbDigital",
                              _xlfn.CONCAT("fbDigital ", F4, " ", F4, ".i_Raw"),
                              _xlfn.CONCAT("XIC Always_False OTE ", F4)),
                    IF(E4 = "DO",
                              _xlfn.CONCAT("XIC ", F4, " OTE Communication_Command_"),
                              IF(E4 = "AI",
                                        IF(J4 = "fbAnalog",
                                                  _xlfn.CONCAT("fbAnalog ", F4, " SysClock.o_NewDay 0 0 0.0"),
                                                  _xlfn.CONCAT("MOVE 0.0 ", F4)),
                                        IF(E4 = "AO",
                                                  _xlfn.CONCAT("MOVE ", F4, " Communication_Setpoint"),
                                                  "Set Type")))),
IF(E4 = "DI",
          IF(ISBLANK(F4),
                    _xlfn.CONCAT("XIC ", B4, ":", C4, ":I.Data.", D4, " NOP"),
                    IF(ISNUMBER(SEARCH("fbDigital", J4)),
                              _xlfn.CONCAT("fbDigital ", F4, " ", B4, ":", C4, ":I.Data.", D4),
                              _xlfn.CONCAT("XIC ", B4, ":", C4, ":I.Data.", D4, " OTE ", F4))),
IF(E4 = "DO",
          IF(ISBLANK(F4),
                    _xlfn.CONCAT("XIC ",B4, ":", C4, ":O.Data.", D4, " OTE ", B4, ":", C4, ":O.Data.", D4),
                    _xlfn.CONCAT("XIC ", F4, " OTE ", B4, ":", C4, ":O.Data.", D4)),
IF(E4 = "AI",
          IF(ISBLANK(F4),
                    "NOP",
                    IF(ISNUMBER(SEARCH("fbAnalog", J4)),
                              _xlfn.CONCAT("fbAnalog ", F4, " SysClock.o_NewDay ", B4, ":", C4, ":I.Ch[", D4, "].Fault 0 ", B4, ":", C4, ":I.Ch[", D4, "].Data"),
                              _xlfn.CONCAT("MOVE ", B4, ":", C4, ":I.Ch[", D4, "].Data ", F4))),
IF(E4 = "AO",
          IF(ISBLANK(F4),
                    "NOP",
                    _xlfn.CONCAT("MOVE ", F4, " ", B4, ":", C4, ":O.Ch[", D4, "].Data")),
"Set Rack and Type"))))))</f>
        <v>XIC R1S12:6:I.Data.0 OTE PL2_4227_235_PMP_0111_YCI</v>
      </c>
      <c r="N4" s="28" t="str">
        <f>_xlfn.CONCAT("*************************************************************", CHAR(10), "Rack ", IF(ISNUMBER(B4), B4, 1), " Slot ", C4, " - ",
IF(E4="DI", "Digital Inputs", IF(E4="DO", "Digital Outputs", IF(E4="AI", "Analog Inputs", IF(E4="AO", "Analog Outputs", "Unknown")))), CHAR(10), "*************************************************************", CHAR(10),
O4:O19)</f>
        <v xml:space="preserve">*************************************************************
Rack 1 Slot 6 - Digital Inputs
*************************************************************
Channel 0 - PL2_4227_235_PMP_0111_YCI - Nitrate Recycle Pump No. 1 In Remote  
Channel 1 - PL2_4227_235_PMP_0111_YRI - Nitrate Recycle Pump No. 1 Running  
Channel 2 - PL2_4227_235_PMP_0111_YAF - Nitrate Recycle Pump No. 1 Fault  
Channel 3 - PL2_4227_235_PMP_0111_TAH - Nitrate Recycle Pump No. 1 High Temp  
Channel 4 - PL2_4227_235_PMP_0111_MAH - Nitrate Recycle Pump No. 1 Leak  
Channel 5 - PL2_4227_235_PMP_0111_YAE - Nitrate Recycle Pump No. 1 E-Stop  
Channel 6 - PL2_4227_235_PMP_0112_YCI - Nitrate Recycle Pump No. 2 In Remote  
Channel 7 - PL2_4227_235_PMP_0112_YRI - Nitrate Recycle Pump No. 2 Running  
Channel 8 - PL2_4227_235_PMP_0112_YAF - Nitrate Recycle Pump No. 2 Fault  
Channel 9 - PL2_4227_235_PMP_0112_TAH - Nitrate Recycle Pump No. 2 High Temp  
Channel 10 - PL2_4227_235_PMP_0112_MAH - Nitrate Recycle Pump No. 2 Leak  
Channel 11 - PL2_4227_235_PMP_0112_YAE - Nitrate Recycle Pump No. 2 E-Stop  
Channel 12 - PL2_4228_XXX_JS_0804 - PLC-BNR 120VAC Fail  
Channel 13 - PL2_4228_XXX_JS_0803 - PLC-BNR 24VDC Fail  
Channel 14 - PL2_4228_XXX_ZS_0801 - PLC-BNR Cabinet Intrusion  
Channel 15 -  
</v>
      </c>
      <c r="O4" s="18" t="str">
        <f t="shared" ref="O4:O51" si="0">_xlfn.CONCAT("Channel ", D4, " - ", IF(ISBLANK(F4), " ", _xlfn.CONCAT(F4, " - ", IF(ISBLANK(G4), " ", _xlfn.CONCAT(G4, " ", IF(ISBLANK(H4), " ", _xlfn.CONCAT(H4, " ", IF(ISBLANK(I4), " ", I4))))))), CHAR(10))</f>
        <v xml:space="preserve">Channel 0 - PL2_4227_235_PMP_0111_YCI - Nitrate Recycle Pump No. 1 In Remote  
</v>
      </c>
    </row>
    <row r="5" spans="1:15" x14ac:dyDescent="0.25">
      <c r="B5" t="s">
        <v>1785</v>
      </c>
      <c r="C5" s="1">
        <v>6</v>
      </c>
      <c r="D5" s="1">
        <v>1</v>
      </c>
      <c r="E5" t="s">
        <v>5</v>
      </c>
      <c r="F5" t="s">
        <v>946</v>
      </c>
      <c r="G5" t="s">
        <v>624</v>
      </c>
      <c r="H5" t="s">
        <v>18</v>
      </c>
      <c r="J5" t="s">
        <v>44</v>
      </c>
      <c r="K5" t="s">
        <v>1787</v>
      </c>
      <c r="L5" s="29"/>
      <c r="M5" s="18" t="str">
        <f t="shared" ref="M5:M84" si="1">IF(B5 = "P2P",
          "Real P2P Condition",
IF(B5 = "Dummy P2P",
          IF(E5 = "DI",
                    IF(J5 = "fbDigital",
                              _xlfn.CONCAT("fbDigital ", F5, " ", F5, ".i_Raw"),
                              _xlfn.CONCAT("XIC Always_False OTE ", F5)),
                    IF(E5 = "DO",
                              _xlfn.CONCAT("XIC ", F5, " OTE Communication_Command_"),
                              IF(E5 = "AI",
                                        IF(J5 = "fbAnalog",
                                                  _xlfn.CONCAT("fbAnalog ", F5, " SysClock.o_NewDay 0 0 0.0"),
                                                  _xlfn.CONCAT("MOVE 0.0 ", F5)),
                                        IF(E5 = "AO",
                                                  _xlfn.CONCAT("MOVE ", F5, " Communication_Setpoint"),
                                                  "Set Type")))),
IF(E5 = "DI",
          IF(ISBLANK(F5),
                    _xlfn.CONCAT("XIC ", B5, ":", C5, ":I.Data.", D5, " NOP"),
                    IF(ISNUMBER(SEARCH("fbDigital", J5)),
                              _xlfn.CONCAT("fbDigital ", F5, " ", B5, ":", C5, ":I.Data.", D5),
                              _xlfn.CONCAT("XIC ", B5, ":", C5, ":I.Data.", D5, " OTE ", F5))),
IF(E5 = "DO",
          IF(ISBLANK(F5),
                    _xlfn.CONCAT("XIC ",B5, ":", C5, ":O.Data.", D5, " OTE ", B5, ":", C5, ":O.Data.", D5),
                    _xlfn.CONCAT("XIC ", F5, " OTE ", B5, ":", C5, ":O.Data.", D5)),
IF(E5 = "AI",
          IF(ISBLANK(F5),
                    "NOP",
                    IF(ISNUMBER(SEARCH("fbAnalog", J5)),
                              _xlfn.CONCAT("fbAnalog ", F5, " SysClock.o_NewDay ", B5, ":", C5, ":I.Ch[", D5, "].Fault 0 ", B5, ":", C5, ":I.Ch[", D5, "].Data"),
                              _xlfn.CONCAT("MOVE ", B5, ":", C5, ":I.Ch[", D5, "].Data ", F5))),
IF(E5 = "AO",
          IF(ISBLANK(F5),
                    "NOP",
                    _xlfn.CONCAT("MOVE ", F5, " ", B5, ":", C5, ":O.Ch[", D5, "].Data")),
"Set Rack and Type"))))))</f>
        <v>XIC R1S12:6:I.Data.1 OTE PL2_4227_235_PMP_0111_YRI</v>
      </c>
      <c r="N5" s="28"/>
      <c r="O5" s="18" t="str">
        <f t="shared" si="0"/>
        <v xml:space="preserve">Channel 1 - PL2_4227_235_PMP_0111_YRI - Nitrate Recycle Pump No. 1 Running  
</v>
      </c>
    </row>
    <row r="6" spans="1:15" x14ac:dyDescent="0.25">
      <c r="B6" t="s">
        <v>1785</v>
      </c>
      <c r="C6" s="1">
        <v>6</v>
      </c>
      <c r="D6" s="1">
        <v>2</v>
      </c>
      <c r="E6" t="s">
        <v>5</v>
      </c>
      <c r="F6" t="s">
        <v>947</v>
      </c>
      <c r="G6" t="s">
        <v>624</v>
      </c>
      <c r="H6" t="s">
        <v>101</v>
      </c>
      <c r="J6" t="s">
        <v>632</v>
      </c>
      <c r="K6" t="s">
        <v>1788</v>
      </c>
      <c r="L6" s="29"/>
      <c r="M6" s="18" t="str">
        <f t="shared" si="1"/>
        <v>fbDigital PL2_4227_235_PMP_0111_YAF R1S12:6:I.Data.2</v>
      </c>
      <c r="N6" s="28"/>
      <c r="O6" s="18" t="str">
        <f t="shared" si="0"/>
        <v xml:space="preserve">Channel 2 - PL2_4227_235_PMP_0111_YAF - Nitrate Recycle Pump No. 1 Fault  
</v>
      </c>
    </row>
    <row r="7" spans="1:15" x14ac:dyDescent="0.25">
      <c r="B7" t="s">
        <v>1785</v>
      </c>
      <c r="C7" s="1">
        <v>6</v>
      </c>
      <c r="D7" s="1">
        <v>3</v>
      </c>
      <c r="E7" t="s">
        <v>5</v>
      </c>
      <c r="F7" t="s">
        <v>1879</v>
      </c>
      <c r="G7" t="s">
        <v>624</v>
      </c>
      <c r="H7" t="s">
        <v>105</v>
      </c>
      <c r="J7" t="s">
        <v>632</v>
      </c>
      <c r="K7" t="s">
        <v>1888</v>
      </c>
      <c r="L7" s="29"/>
      <c r="M7" s="18" t="str">
        <f t="shared" si="1"/>
        <v>fbDigital PL2_4227_235_PMP_0111_TAH R1S12:6:I.Data.3</v>
      </c>
      <c r="N7" s="28"/>
      <c r="O7" s="18" t="str">
        <f t="shared" si="0"/>
        <v xml:space="preserve">Channel 3 - PL2_4227_235_PMP_0111_TAH - Nitrate Recycle Pump No. 1 High Temp  
</v>
      </c>
    </row>
    <row r="8" spans="1:15" x14ac:dyDescent="0.25">
      <c r="B8" t="s">
        <v>1785</v>
      </c>
      <c r="C8" s="1">
        <v>6</v>
      </c>
      <c r="D8" s="1">
        <v>4</v>
      </c>
      <c r="E8" t="s">
        <v>5</v>
      </c>
      <c r="F8" t="s">
        <v>948</v>
      </c>
      <c r="G8" t="s">
        <v>624</v>
      </c>
      <c r="H8" t="s">
        <v>623</v>
      </c>
      <c r="J8" t="s">
        <v>632</v>
      </c>
      <c r="K8" t="s">
        <v>1789</v>
      </c>
      <c r="L8" s="29"/>
      <c r="M8" s="18" t="str">
        <f t="shared" si="1"/>
        <v>fbDigital PL2_4227_235_PMP_0111_MAH R1S12:6:I.Data.4</v>
      </c>
      <c r="N8" s="28"/>
      <c r="O8" s="18" t="str">
        <f t="shared" si="0"/>
        <v xml:space="preserve">Channel 4 - PL2_4227_235_PMP_0111_MAH - Nitrate Recycle Pump No. 1 Leak  
</v>
      </c>
    </row>
    <row r="9" spans="1:15" x14ac:dyDescent="0.25">
      <c r="B9" t="s">
        <v>1785</v>
      </c>
      <c r="C9" s="1">
        <v>6</v>
      </c>
      <c r="D9" s="1">
        <v>5</v>
      </c>
      <c r="E9" t="s">
        <v>5</v>
      </c>
      <c r="F9" t="s">
        <v>949</v>
      </c>
      <c r="G9" t="s">
        <v>624</v>
      </c>
      <c r="H9" t="s">
        <v>104</v>
      </c>
      <c r="J9" t="s">
        <v>632</v>
      </c>
      <c r="K9" t="s">
        <v>1790</v>
      </c>
      <c r="L9" s="29"/>
      <c r="M9" s="18" t="str">
        <f t="shared" si="1"/>
        <v>fbDigital PL2_4227_235_PMP_0111_YAE R1S12:6:I.Data.5</v>
      </c>
      <c r="N9" s="28"/>
      <c r="O9" s="18" t="str">
        <f t="shared" si="0"/>
        <v xml:space="preserve">Channel 5 - PL2_4227_235_PMP_0111_YAE - Nitrate Recycle Pump No. 1 E-Stop  
</v>
      </c>
    </row>
    <row r="10" spans="1:15" x14ac:dyDescent="0.25">
      <c r="B10" t="s">
        <v>1785</v>
      </c>
      <c r="C10" s="1">
        <v>6</v>
      </c>
      <c r="D10" s="1">
        <v>6</v>
      </c>
      <c r="E10" t="s">
        <v>5</v>
      </c>
      <c r="F10" t="s">
        <v>955</v>
      </c>
      <c r="G10" t="s">
        <v>627</v>
      </c>
      <c r="H10" t="s">
        <v>633</v>
      </c>
      <c r="J10" t="s">
        <v>44</v>
      </c>
      <c r="K10" t="s">
        <v>1791</v>
      </c>
      <c r="L10" s="29"/>
      <c r="M10" s="18" t="str">
        <f t="shared" si="1"/>
        <v>XIC R1S12:6:I.Data.6 OTE PL2_4227_235_PMP_0112_YCI</v>
      </c>
      <c r="N10" s="28"/>
      <c r="O10" s="18" t="str">
        <f t="shared" si="0"/>
        <v xml:space="preserve">Channel 6 - PL2_4227_235_PMP_0112_YCI - Nitrate Recycle Pump No. 2 In Remote  
</v>
      </c>
    </row>
    <row r="11" spans="1:15" x14ac:dyDescent="0.25">
      <c r="B11" t="s">
        <v>1785</v>
      </c>
      <c r="C11" s="1">
        <v>6</v>
      </c>
      <c r="D11" s="1">
        <v>7</v>
      </c>
      <c r="E11" t="s">
        <v>5</v>
      </c>
      <c r="F11" t="s">
        <v>956</v>
      </c>
      <c r="G11" t="s">
        <v>627</v>
      </c>
      <c r="H11" t="s">
        <v>18</v>
      </c>
      <c r="J11" t="s">
        <v>44</v>
      </c>
      <c r="K11" t="s">
        <v>1792</v>
      </c>
      <c r="L11" s="29"/>
      <c r="M11" s="18" t="str">
        <f t="shared" si="1"/>
        <v>XIC R1S12:6:I.Data.7 OTE PL2_4227_235_PMP_0112_YRI</v>
      </c>
      <c r="N11" s="28"/>
      <c r="O11" s="18" t="str">
        <f t="shared" si="0"/>
        <v xml:space="preserve">Channel 7 - PL2_4227_235_PMP_0112_YRI - Nitrate Recycle Pump No. 2 Running  
</v>
      </c>
    </row>
    <row r="12" spans="1:15" x14ac:dyDescent="0.25">
      <c r="B12" t="s">
        <v>1785</v>
      </c>
      <c r="C12" s="1">
        <v>6</v>
      </c>
      <c r="D12" s="1">
        <v>8</v>
      </c>
      <c r="E12" t="s">
        <v>5</v>
      </c>
      <c r="F12" t="s">
        <v>957</v>
      </c>
      <c r="G12" t="s">
        <v>627</v>
      </c>
      <c r="H12" t="s">
        <v>101</v>
      </c>
      <c r="J12" t="s">
        <v>632</v>
      </c>
      <c r="K12" t="s">
        <v>1793</v>
      </c>
      <c r="L12" s="29"/>
      <c r="M12" s="18" t="str">
        <f t="shared" si="1"/>
        <v>fbDigital PL2_4227_235_PMP_0112_YAF R1S12:6:I.Data.8</v>
      </c>
      <c r="N12" s="28"/>
      <c r="O12" s="18" t="str">
        <f t="shared" si="0"/>
        <v xml:space="preserve">Channel 8 - PL2_4227_235_PMP_0112_YAF - Nitrate Recycle Pump No. 2 Fault  
</v>
      </c>
    </row>
    <row r="13" spans="1:15" x14ac:dyDescent="0.25">
      <c r="B13" t="s">
        <v>1785</v>
      </c>
      <c r="C13" s="1">
        <v>6</v>
      </c>
      <c r="D13" s="1">
        <v>9</v>
      </c>
      <c r="E13" t="s">
        <v>5</v>
      </c>
      <c r="F13" t="s">
        <v>1880</v>
      </c>
      <c r="G13" t="s">
        <v>627</v>
      </c>
      <c r="H13" t="s">
        <v>105</v>
      </c>
      <c r="J13" t="s">
        <v>632</v>
      </c>
      <c r="K13" t="s">
        <v>1889</v>
      </c>
      <c r="L13" s="29"/>
      <c r="M13" s="18" t="str">
        <f t="shared" si="1"/>
        <v>fbDigital PL2_4227_235_PMP_0112_TAH R1S12:6:I.Data.9</v>
      </c>
      <c r="N13" s="28"/>
      <c r="O13" s="18" t="str">
        <f t="shared" si="0"/>
        <v xml:space="preserve">Channel 9 - PL2_4227_235_PMP_0112_TAH - Nitrate Recycle Pump No. 2 High Temp  
</v>
      </c>
    </row>
    <row r="14" spans="1:15" x14ac:dyDescent="0.25">
      <c r="B14" t="s">
        <v>1785</v>
      </c>
      <c r="C14" s="1">
        <v>6</v>
      </c>
      <c r="D14" s="1">
        <v>10</v>
      </c>
      <c r="E14" t="s">
        <v>5</v>
      </c>
      <c r="F14" t="s">
        <v>958</v>
      </c>
      <c r="G14" t="s">
        <v>627</v>
      </c>
      <c r="H14" t="s">
        <v>623</v>
      </c>
      <c r="J14" t="s">
        <v>632</v>
      </c>
      <c r="K14" t="s">
        <v>1794</v>
      </c>
      <c r="L14" s="29"/>
      <c r="M14" s="18" t="str">
        <f t="shared" si="1"/>
        <v>fbDigital PL2_4227_235_PMP_0112_MAH R1S12:6:I.Data.10</v>
      </c>
      <c r="N14" s="28"/>
      <c r="O14" s="18" t="str">
        <f t="shared" si="0"/>
        <v xml:space="preserve">Channel 10 - PL2_4227_235_PMP_0112_MAH - Nitrate Recycle Pump No. 2 Leak  
</v>
      </c>
    </row>
    <row r="15" spans="1:15" x14ac:dyDescent="0.25">
      <c r="B15" t="s">
        <v>1785</v>
      </c>
      <c r="C15" s="1">
        <v>6</v>
      </c>
      <c r="D15" s="1">
        <v>11</v>
      </c>
      <c r="E15" t="s">
        <v>5</v>
      </c>
      <c r="F15" t="s">
        <v>959</v>
      </c>
      <c r="G15" t="s">
        <v>627</v>
      </c>
      <c r="H15" t="s">
        <v>104</v>
      </c>
      <c r="J15" t="s">
        <v>632</v>
      </c>
      <c r="K15" t="s">
        <v>1795</v>
      </c>
      <c r="L15" s="29"/>
      <c r="M15" s="18" t="str">
        <f t="shared" si="1"/>
        <v>fbDigital PL2_4227_235_PMP_0112_YAE R1S12:6:I.Data.11</v>
      </c>
      <c r="N15" s="28"/>
      <c r="O15" s="18" t="str">
        <f t="shared" si="0"/>
        <v xml:space="preserve">Channel 11 - PL2_4227_235_PMP_0112_YAE - Nitrate Recycle Pump No. 2 E-Stop  
</v>
      </c>
    </row>
    <row r="16" spans="1:15" x14ac:dyDescent="0.25">
      <c r="B16" t="s">
        <v>1785</v>
      </c>
      <c r="C16" s="1">
        <v>6</v>
      </c>
      <c r="D16" s="1">
        <v>12</v>
      </c>
      <c r="E16" t="s">
        <v>5</v>
      </c>
      <c r="F16" t="s">
        <v>1749</v>
      </c>
      <c r="G16" t="s">
        <v>1000</v>
      </c>
      <c r="H16" t="s">
        <v>1003</v>
      </c>
      <c r="J16" t="s">
        <v>632</v>
      </c>
      <c r="K16" t="s">
        <v>1796</v>
      </c>
      <c r="L16" s="29"/>
      <c r="M16" s="18" t="str">
        <f t="shared" si="1"/>
        <v>fbDigital PL2_4228_XXX_JS_0804 R1S12:6:I.Data.12</v>
      </c>
      <c r="N16" s="28"/>
      <c r="O16" s="18" t="str">
        <f t="shared" si="0"/>
        <v xml:space="preserve">Channel 12 - PL2_4228_XXX_JS_0804 - PLC-BNR 120VAC Fail  
</v>
      </c>
    </row>
    <row r="17" spans="2:15" x14ac:dyDescent="0.25">
      <c r="B17" t="s">
        <v>1785</v>
      </c>
      <c r="C17" s="1">
        <v>6</v>
      </c>
      <c r="D17" s="1">
        <v>13</v>
      </c>
      <c r="E17" t="s">
        <v>5</v>
      </c>
      <c r="F17" t="s">
        <v>1750</v>
      </c>
      <c r="G17" t="s">
        <v>1000</v>
      </c>
      <c r="H17" t="s">
        <v>1002</v>
      </c>
      <c r="J17" t="s">
        <v>632</v>
      </c>
      <c r="K17" t="s">
        <v>1797</v>
      </c>
      <c r="L17" s="29"/>
      <c r="M17" s="18" t="str">
        <f t="shared" si="1"/>
        <v>fbDigital PL2_4228_XXX_JS_0803 R1S12:6:I.Data.13</v>
      </c>
      <c r="N17" s="28"/>
      <c r="O17" s="18" t="str">
        <f t="shared" si="0"/>
        <v xml:space="preserve">Channel 13 - PL2_4228_XXX_JS_0803 - PLC-BNR 24VDC Fail  
</v>
      </c>
    </row>
    <row r="18" spans="2:15" x14ac:dyDescent="0.25">
      <c r="B18" t="s">
        <v>1785</v>
      </c>
      <c r="C18" s="1">
        <v>6</v>
      </c>
      <c r="D18" s="1">
        <v>14</v>
      </c>
      <c r="E18" t="s">
        <v>5</v>
      </c>
      <c r="F18" t="s">
        <v>1751</v>
      </c>
      <c r="G18" t="s">
        <v>1000</v>
      </c>
      <c r="H18" t="s">
        <v>1001</v>
      </c>
      <c r="J18" t="s">
        <v>632</v>
      </c>
      <c r="K18" t="s">
        <v>1798</v>
      </c>
      <c r="L18" s="29"/>
      <c r="M18" s="18" t="str">
        <f t="shared" si="1"/>
        <v>fbDigital PL2_4228_XXX_ZS_0801 R1S12:6:I.Data.14</v>
      </c>
      <c r="N18" s="28"/>
      <c r="O18" s="18" t="str">
        <f t="shared" si="0"/>
        <v xml:space="preserve">Channel 14 - PL2_4228_XXX_ZS_0801 - PLC-BNR Cabinet Intrusion  
</v>
      </c>
    </row>
    <row r="19" spans="2:15" x14ac:dyDescent="0.25">
      <c r="B19" t="s">
        <v>1785</v>
      </c>
      <c r="C19" s="1">
        <v>6</v>
      </c>
      <c r="D19" s="1">
        <v>15</v>
      </c>
      <c r="E19" t="s">
        <v>5</v>
      </c>
      <c r="K19" t="s">
        <v>1799</v>
      </c>
      <c r="L19" s="29"/>
      <c r="M19" s="18" t="str">
        <f t="shared" si="1"/>
        <v>XIC R1S12:6:I.Data.15 NOP</v>
      </c>
      <c r="N19" s="28"/>
      <c r="O19" s="18" t="str">
        <f t="shared" si="0"/>
        <v xml:space="preserve">Channel 15 -  
</v>
      </c>
    </row>
    <row r="20" spans="2:15" ht="15" customHeight="1" x14ac:dyDescent="0.25">
      <c r="B20" t="s">
        <v>1785</v>
      </c>
      <c r="C20" s="1">
        <v>7</v>
      </c>
      <c r="D20" s="1">
        <v>0</v>
      </c>
      <c r="E20" t="s">
        <v>5</v>
      </c>
      <c r="F20" t="s">
        <v>965</v>
      </c>
      <c r="G20" t="s">
        <v>625</v>
      </c>
      <c r="H20" t="s">
        <v>633</v>
      </c>
      <c r="J20" t="s">
        <v>44</v>
      </c>
      <c r="K20" t="s">
        <v>1800</v>
      </c>
      <c r="L20" s="29" t="s">
        <v>1886</v>
      </c>
      <c r="M20" s="18" t="str">
        <f t="shared" si="1"/>
        <v>XIC R1S12:7:I.Data.0 OTE PL2_4227_235_PMP_0211_YCI</v>
      </c>
      <c r="N20" s="28" t="str">
        <f>_xlfn.CONCAT("*************************************************************", CHAR(10), "Rack ", IF(ISNUMBER(B20), B20, 1), " Slot ", C20, " - ",
IF(E20="DI", "Digital Inputs", IF(E20="DO", "Digital Outputs", IF(E20="AI", "Analog Inputs", IF(E20="AO", "Analog Outputs", "Unknown")))), CHAR(10), "*************************************************************", CHAR(10),
O20:O35)</f>
        <v xml:space="preserve">*************************************************************
Rack 1 Slot 7 - Digital Inputs
*************************************************************
Channel 0 - PL2_4227_235_PMP_0211_YCI - Nitrate Recycle Pump No. 3 In Remote  
Channel 1 - PL2_4227_235_PMP_0211_YRI - Nitrate Recycle Pump No. 3 Running  
Channel 2 - PL2_4227_235_PMP_0211_YAF - Nitrate Recycle Pump No. 3 Fault  
Channel 3 - PL2_4227_235_PMP_0211_TAH - Nitrate Recycle Pump No. 3 High Temp  
Channel 4 - PL2_4227_235_PMP_0211_MAH - Nitrate Recycle Pump No. 3 Leak  
Channel 5 - PL2_4227_235_PMP_0211_YAE - Nitrate Recycle Pump No. 3 E-Stop  
Channel 6 - PL2_4227_235_PMP_0212_YCI - Nitrate Recycle Pump No. 4 In Remote  
Channel 7 - PL2_4227_235_PMP_0212_YRI - Nitrate Recycle Pump No. 4 Running  
Channel 8 - PL2_4227_235_PMP_0212_YAF - Nitrate Recycle Pump No. 4 Fault  
Channel 9 - PL2_4227_235_PMP_0212_TAH - Nitrate Recycle Pump No. 4 High Temp  
Channel 10 - PL2_4227_235_PMP_0212_MAH - Nitrate Recycle Pump No. 4 Leak  
Channel 11 - PL2_4227_235_PMP_0212_YAE - Nitrate Recycle Pump No. 4 E-Stop  
Channel 12 - PL2_4228_429_UPS_0110_YAN - PLC-BNR  UPS Service Required  
Channel 13 - PL2_4228_429_UPS_0110_JSB - PLC-BNR  UPS In Battery Mode  
Channel 14 - PL2_4228_429_UPS_0110_YAF - PLC-BNR  UPS General Alarm  
Channel 15 - PL2_4227_063_HTP_0100 - BNR Heat Trace Fail  
</v>
      </c>
      <c r="O20" s="18" t="str">
        <f t="shared" si="0"/>
        <v xml:space="preserve">Channel 0 - PL2_4227_235_PMP_0211_YCI - Nitrate Recycle Pump No. 3 In Remote  
</v>
      </c>
    </row>
    <row r="21" spans="2:15" ht="15" customHeight="1" x14ac:dyDescent="0.25">
      <c r="B21" t="s">
        <v>1785</v>
      </c>
      <c r="C21" s="1">
        <v>7</v>
      </c>
      <c r="D21" s="1">
        <v>1</v>
      </c>
      <c r="E21" t="s">
        <v>5</v>
      </c>
      <c r="F21" t="s">
        <v>966</v>
      </c>
      <c r="G21" t="s">
        <v>625</v>
      </c>
      <c r="H21" t="s">
        <v>18</v>
      </c>
      <c r="J21" t="s">
        <v>44</v>
      </c>
      <c r="K21" t="s">
        <v>1801</v>
      </c>
      <c r="L21" s="29"/>
      <c r="M21" s="18" t="str">
        <f t="shared" si="1"/>
        <v>XIC R1S12:7:I.Data.1 OTE PL2_4227_235_PMP_0211_YRI</v>
      </c>
      <c r="N21" s="28"/>
      <c r="O21" s="18" t="str">
        <f t="shared" si="0"/>
        <v xml:space="preserve">Channel 1 - PL2_4227_235_PMP_0211_YRI - Nitrate Recycle Pump No. 3 Running  
</v>
      </c>
    </row>
    <row r="22" spans="2:15" x14ac:dyDescent="0.25">
      <c r="B22" t="s">
        <v>1785</v>
      </c>
      <c r="C22" s="1">
        <v>7</v>
      </c>
      <c r="D22" s="1">
        <v>2</v>
      </c>
      <c r="E22" t="s">
        <v>5</v>
      </c>
      <c r="F22" t="s">
        <v>967</v>
      </c>
      <c r="G22" t="s">
        <v>625</v>
      </c>
      <c r="H22" t="s">
        <v>101</v>
      </c>
      <c r="J22" t="s">
        <v>632</v>
      </c>
      <c r="K22" t="s">
        <v>1802</v>
      </c>
      <c r="L22" s="29"/>
      <c r="M22" s="18" t="str">
        <f t="shared" si="1"/>
        <v>fbDigital PL2_4227_235_PMP_0211_YAF R1S12:7:I.Data.2</v>
      </c>
      <c r="N22" s="28"/>
      <c r="O22" s="18" t="str">
        <f t="shared" si="0"/>
        <v xml:space="preserve">Channel 2 - PL2_4227_235_PMP_0211_YAF - Nitrate Recycle Pump No. 3 Fault  
</v>
      </c>
    </row>
    <row r="23" spans="2:15" x14ac:dyDescent="0.25">
      <c r="B23" t="s">
        <v>1785</v>
      </c>
      <c r="C23" s="1">
        <v>7</v>
      </c>
      <c r="D23" s="1">
        <v>3</v>
      </c>
      <c r="E23" t="s">
        <v>5</v>
      </c>
      <c r="F23" t="s">
        <v>1881</v>
      </c>
      <c r="G23" t="s">
        <v>625</v>
      </c>
      <c r="H23" t="s">
        <v>105</v>
      </c>
      <c r="J23" t="s">
        <v>632</v>
      </c>
      <c r="K23" t="s">
        <v>1890</v>
      </c>
      <c r="L23" s="29"/>
      <c r="M23" s="18" t="str">
        <f t="shared" si="1"/>
        <v>fbDigital PL2_4227_235_PMP_0211_TAH R1S12:7:I.Data.3</v>
      </c>
      <c r="N23" s="28"/>
      <c r="O23" s="18" t="str">
        <f t="shared" si="0"/>
        <v xml:space="preserve">Channel 3 - PL2_4227_235_PMP_0211_TAH - Nitrate Recycle Pump No. 3 High Temp  
</v>
      </c>
    </row>
    <row r="24" spans="2:15" x14ac:dyDescent="0.25">
      <c r="B24" t="s">
        <v>1785</v>
      </c>
      <c r="C24" s="1">
        <v>7</v>
      </c>
      <c r="D24" s="1">
        <v>4</v>
      </c>
      <c r="E24" t="s">
        <v>5</v>
      </c>
      <c r="F24" t="s">
        <v>968</v>
      </c>
      <c r="G24" t="s">
        <v>625</v>
      </c>
      <c r="H24" t="s">
        <v>623</v>
      </c>
      <c r="J24" t="s">
        <v>632</v>
      </c>
      <c r="K24" t="s">
        <v>1803</v>
      </c>
      <c r="L24" s="29"/>
      <c r="M24" s="18" t="str">
        <f t="shared" si="1"/>
        <v>fbDigital PL2_4227_235_PMP_0211_MAH R1S12:7:I.Data.4</v>
      </c>
      <c r="N24" s="28"/>
      <c r="O24" s="18" t="str">
        <f t="shared" si="0"/>
        <v xml:space="preserve">Channel 4 - PL2_4227_235_PMP_0211_MAH - Nitrate Recycle Pump No. 3 Leak  
</v>
      </c>
    </row>
    <row r="25" spans="2:15" x14ac:dyDescent="0.25">
      <c r="B25" t="s">
        <v>1785</v>
      </c>
      <c r="C25" s="1">
        <v>7</v>
      </c>
      <c r="D25" s="1">
        <v>5</v>
      </c>
      <c r="E25" t="s">
        <v>5</v>
      </c>
      <c r="F25" t="s">
        <v>969</v>
      </c>
      <c r="G25" t="s">
        <v>625</v>
      </c>
      <c r="H25" t="s">
        <v>104</v>
      </c>
      <c r="J25" t="s">
        <v>632</v>
      </c>
      <c r="K25" t="s">
        <v>1804</v>
      </c>
      <c r="L25" s="29"/>
      <c r="M25" s="18" t="str">
        <f t="shared" si="1"/>
        <v>fbDigital PL2_4227_235_PMP_0211_YAE R1S12:7:I.Data.5</v>
      </c>
      <c r="N25" s="28"/>
      <c r="O25" s="18" t="str">
        <f t="shared" si="0"/>
        <v xml:space="preserve">Channel 5 - PL2_4227_235_PMP_0211_YAE - Nitrate Recycle Pump No. 3 E-Stop  
</v>
      </c>
    </row>
    <row r="26" spans="2:15" x14ac:dyDescent="0.25">
      <c r="B26" t="s">
        <v>1785</v>
      </c>
      <c r="C26" s="1">
        <v>7</v>
      </c>
      <c r="D26" s="1">
        <v>6</v>
      </c>
      <c r="E26" t="s">
        <v>5</v>
      </c>
      <c r="F26" t="s">
        <v>950</v>
      </c>
      <c r="G26" t="s">
        <v>626</v>
      </c>
      <c r="H26" t="s">
        <v>633</v>
      </c>
      <c r="J26" t="s">
        <v>44</v>
      </c>
      <c r="K26" t="s">
        <v>1805</v>
      </c>
      <c r="L26" s="29"/>
      <c r="M26" s="18" t="str">
        <f t="shared" si="1"/>
        <v>XIC R1S12:7:I.Data.6 OTE PL2_4227_235_PMP_0212_YCI</v>
      </c>
      <c r="N26" s="28"/>
      <c r="O26" s="18" t="str">
        <f t="shared" si="0"/>
        <v xml:space="preserve">Channel 6 - PL2_4227_235_PMP_0212_YCI - Nitrate Recycle Pump No. 4 In Remote  
</v>
      </c>
    </row>
    <row r="27" spans="2:15" x14ac:dyDescent="0.25">
      <c r="B27" t="s">
        <v>1785</v>
      </c>
      <c r="C27" s="1">
        <v>7</v>
      </c>
      <c r="D27" s="1">
        <v>7</v>
      </c>
      <c r="E27" t="s">
        <v>5</v>
      </c>
      <c r="F27" t="s">
        <v>951</v>
      </c>
      <c r="G27" t="s">
        <v>626</v>
      </c>
      <c r="H27" t="s">
        <v>18</v>
      </c>
      <c r="J27" t="s">
        <v>44</v>
      </c>
      <c r="K27" t="s">
        <v>1806</v>
      </c>
      <c r="L27" s="29"/>
      <c r="M27" s="18" t="str">
        <f t="shared" si="1"/>
        <v>XIC R1S12:7:I.Data.7 OTE PL2_4227_235_PMP_0212_YRI</v>
      </c>
      <c r="N27" s="28"/>
      <c r="O27" s="18" t="str">
        <f t="shared" si="0"/>
        <v xml:space="preserve">Channel 7 - PL2_4227_235_PMP_0212_YRI - Nitrate Recycle Pump No. 4 Running  
</v>
      </c>
    </row>
    <row r="28" spans="2:15" x14ac:dyDescent="0.25">
      <c r="B28" t="s">
        <v>1785</v>
      </c>
      <c r="C28" s="1">
        <v>7</v>
      </c>
      <c r="D28" s="1">
        <v>8</v>
      </c>
      <c r="E28" t="s">
        <v>5</v>
      </c>
      <c r="F28" t="s">
        <v>952</v>
      </c>
      <c r="G28" t="s">
        <v>626</v>
      </c>
      <c r="H28" t="s">
        <v>101</v>
      </c>
      <c r="J28" t="s">
        <v>632</v>
      </c>
      <c r="K28" t="s">
        <v>1807</v>
      </c>
      <c r="L28" s="29"/>
      <c r="M28" s="18" t="str">
        <f t="shared" si="1"/>
        <v>fbDigital PL2_4227_235_PMP_0212_YAF R1S12:7:I.Data.8</v>
      </c>
      <c r="N28" s="28"/>
      <c r="O28" s="18" t="str">
        <f t="shared" si="0"/>
        <v xml:space="preserve">Channel 8 - PL2_4227_235_PMP_0212_YAF - Nitrate Recycle Pump No. 4 Fault  
</v>
      </c>
    </row>
    <row r="29" spans="2:15" x14ac:dyDescent="0.25">
      <c r="B29" t="s">
        <v>1785</v>
      </c>
      <c r="C29" s="1">
        <v>7</v>
      </c>
      <c r="D29" s="1">
        <v>9</v>
      </c>
      <c r="E29" t="s">
        <v>5</v>
      </c>
      <c r="F29" t="s">
        <v>1882</v>
      </c>
      <c r="G29" t="s">
        <v>626</v>
      </c>
      <c r="H29" t="s">
        <v>105</v>
      </c>
      <c r="J29" t="s">
        <v>632</v>
      </c>
      <c r="K29" t="s">
        <v>1891</v>
      </c>
      <c r="L29" s="29"/>
      <c r="M29" s="18" t="str">
        <f t="shared" si="1"/>
        <v>fbDigital PL2_4227_235_PMP_0212_TAH R1S12:7:I.Data.9</v>
      </c>
      <c r="N29" s="28"/>
      <c r="O29" s="18" t="str">
        <f t="shared" si="0"/>
        <v xml:space="preserve">Channel 9 - PL2_4227_235_PMP_0212_TAH - Nitrate Recycle Pump No. 4 High Temp  
</v>
      </c>
    </row>
    <row r="30" spans="2:15" x14ac:dyDescent="0.25">
      <c r="B30" t="s">
        <v>1785</v>
      </c>
      <c r="C30" s="1">
        <v>7</v>
      </c>
      <c r="D30" s="1">
        <v>10</v>
      </c>
      <c r="E30" t="s">
        <v>5</v>
      </c>
      <c r="F30" t="s">
        <v>953</v>
      </c>
      <c r="G30" t="s">
        <v>626</v>
      </c>
      <c r="H30" t="s">
        <v>623</v>
      </c>
      <c r="J30" t="s">
        <v>632</v>
      </c>
      <c r="K30" t="s">
        <v>1808</v>
      </c>
      <c r="L30" s="29"/>
      <c r="M30" s="18" t="str">
        <f t="shared" si="1"/>
        <v>fbDigital PL2_4227_235_PMP_0212_MAH R1S12:7:I.Data.10</v>
      </c>
      <c r="N30" s="28"/>
      <c r="O30" s="18" t="str">
        <f t="shared" si="0"/>
        <v xml:space="preserve">Channel 10 - PL2_4227_235_PMP_0212_MAH - Nitrate Recycle Pump No. 4 Leak  
</v>
      </c>
    </row>
    <row r="31" spans="2:15" x14ac:dyDescent="0.25">
      <c r="B31" t="s">
        <v>1785</v>
      </c>
      <c r="C31" s="1">
        <v>7</v>
      </c>
      <c r="D31" s="1">
        <v>11</v>
      </c>
      <c r="E31" t="s">
        <v>5</v>
      </c>
      <c r="F31" t="s">
        <v>954</v>
      </c>
      <c r="G31" t="s">
        <v>626</v>
      </c>
      <c r="H31" t="s">
        <v>104</v>
      </c>
      <c r="J31" t="s">
        <v>632</v>
      </c>
      <c r="K31" t="s">
        <v>1809</v>
      </c>
      <c r="L31" s="29"/>
      <c r="M31" s="18" t="str">
        <f t="shared" si="1"/>
        <v>fbDigital PL2_4227_235_PMP_0212_YAE R1S12:7:I.Data.11</v>
      </c>
      <c r="N31" s="28"/>
      <c r="O31" s="18" t="str">
        <f t="shared" si="0"/>
        <v xml:space="preserve">Channel 11 - PL2_4227_235_PMP_0212_YAE - Nitrate Recycle Pump No. 4 E-Stop  
</v>
      </c>
    </row>
    <row r="32" spans="2:15" x14ac:dyDescent="0.25">
      <c r="B32" t="s">
        <v>1785</v>
      </c>
      <c r="C32" s="1">
        <v>7</v>
      </c>
      <c r="D32" s="1">
        <v>12</v>
      </c>
      <c r="E32" t="s">
        <v>5</v>
      </c>
      <c r="F32" t="s">
        <v>1774</v>
      </c>
      <c r="G32" t="s">
        <v>1777</v>
      </c>
      <c r="H32" t="s">
        <v>1778</v>
      </c>
      <c r="J32" t="s">
        <v>632</v>
      </c>
      <c r="K32" t="s">
        <v>1810</v>
      </c>
      <c r="L32" s="29"/>
      <c r="M32" s="18" t="str">
        <f t="shared" si="1"/>
        <v>fbDigital PL2_4228_429_UPS_0110_YAN R1S12:7:I.Data.12</v>
      </c>
      <c r="N32" s="28"/>
      <c r="O32" s="18" t="str">
        <f t="shared" si="0"/>
        <v xml:space="preserve">Channel 12 - PL2_4228_429_UPS_0110_YAN - PLC-BNR  UPS Service Required  
</v>
      </c>
    </row>
    <row r="33" spans="2:15" x14ac:dyDescent="0.25">
      <c r="B33" t="s">
        <v>1785</v>
      </c>
      <c r="C33" s="1">
        <v>7</v>
      </c>
      <c r="D33" s="1">
        <v>13</v>
      </c>
      <c r="E33" t="s">
        <v>5</v>
      </c>
      <c r="F33" t="s">
        <v>1775</v>
      </c>
      <c r="G33" t="s">
        <v>1777</v>
      </c>
      <c r="H33" t="s">
        <v>1779</v>
      </c>
      <c r="J33" t="s">
        <v>632</v>
      </c>
      <c r="K33" t="s">
        <v>1811</v>
      </c>
      <c r="L33" s="29"/>
      <c r="M33" s="18" t="str">
        <f t="shared" si="1"/>
        <v>fbDigital PL2_4228_429_UPS_0110_JSB R1S12:7:I.Data.13</v>
      </c>
      <c r="N33" s="28"/>
      <c r="O33" s="18" t="str">
        <f t="shared" si="0"/>
        <v xml:space="preserve">Channel 13 - PL2_4228_429_UPS_0110_JSB - PLC-BNR  UPS In Battery Mode  
</v>
      </c>
    </row>
    <row r="34" spans="2:15" x14ac:dyDescent="0.25">
      <c r="B34" t="s">
        <v>1785</v>
      </c>
      <c r="C34" s="1">
        <v>7</v>
      </c>
      <c r="D34" s="1">
        <v>14</v>
      </c>
      <c r="E34" t="s">
        <v>5</v>
      </c>
      <c r="F34" t="s">
        <v>1776</v>
      </c>
      <c r="G34" t="s">
        <v>1777</v>
      </c>
      <c r="H34" t="s">
        <v>1780</v>
      </c>
      <c r="J34" t="s">
        <v>632</v>
      </c>
      <c r="K34" t="s">
        <v>1812</v>
      </c>
      <c r="L34" s="29"/>
      <c r="M34" s="18" t="str">
        <f t="shared" si="1"/>
        <v>fbDigital PL2_4228_429_UPS_0110_YAF R1S12:7:I.Data.14</v>
      </c>
      <c r="N34" s="28"/>
      <c r="O34" s="18" t="str">
        <f t="shared" si="0"/>
        <v xml:space="preserve">Channel 14 - PL2_4228_429_UPS_0110_YAF - PLC-BNR  UPS General Alarm  
</v>
      </c>
    </row>
    <row r="35" spans="2:15" x14ac:dyDescent="0.25">
      <c r="B35" t="s">
        <v>1785</v>
      </c>
      <c r="C35" s="1">
        <v>7</v>
      </c>
      <c r="D35" s="1">
        <v>15</v>
      </c>
      <c r="E35" t="s">
        <v>5</v>
      </c>
      <c r="F35" t="s">
        <v>1009</v>
      </c>
      <c r="G35" t="s">
        <v>752</v>
      </c>
      <c r="J35" t="s">
        <v>632</v>
      </c>
      <c r="K35" t="s">
        <v>1813</v>
      </c>
      <c r="L35" s="29"/>
      <c r="M35" s="18" t="str">
        <f t="shared" si="1"/>
        <v>fbDigital PL2_4227_063_HTP_0100 R1S12:7:I.Data.15</v>
      </c>
      <c r="N35" s="28"/>
      <c r="O35" s="18" t="str">
        <f t="shared" si="0"/>
        <v xml:space="preserve">Channel 15 - PL2_4227_063_HTP_0100 - BNR Heat Trace Fail  
</v>
      </c>
    </row>
    <row r="36" spans="2:15" ht="15" customHeight="1" x14ac:dyDescent="0.25">
      <c r="B36" t="s">
        <v>1785</v>
      </c>
      <c r="C36" s="1">
        <v>8</v>
      </c>
      <c r="D36" s="1">
        <v>0</v>
      </c>
      <c r="E36" t="s">
        <v>5</v>
      </c>
      <c r="F36" t="s">
        <v>960</v>
      </c>
      <c r="G36" t="s">
        <v>628</v>
      </c>
      <c r="H36" t="s">
        <v>633</v>
      </c>
      <c r="J36" t="s">
        <v>44</v>
      </c>
      <c r="K36" t="s">
        <v>1814</v>
      </c>
      <c r="L36" s="29" t="s">
        <v>1887</v>
      </c>
      <c r="M36" s="18" t="str">
        <f t="shared" si="1"/>
        <v>XIC R1S12:8:I.Data.0 OTE PL2_4227_235_PMP_0311_YCI</v>
      </c>
      <c r="N36" s="28" t="str">
        <f>_xlfn.CONCAT("*************************************************************", CHAR(10), "Rack ", IF(ISNUMBER(B36), B36, 1), " Slot ", C36, " - ",
IF(E36="DI", "Digital Inputs", IF(E36="DO", "Digital Outputs", IF(E36="AI", "Analog Inputs", IF(E36="AO", "Analog Outputs", "Unknown")))), CHAR(10), "*************************************************************", CHAR(10),
O36:O51)</f>
        <v xml:space="preserve">*************************************************************
Rack 1 Slot 8 - Digital Inputs
*************************************************************
Channel 0 - PL2_4227_235_PMP_0311_YCI - Nitrate Recycle Pump No. 5 In Remote  
Channel 1 - PL2_4227_235_PMP_0311_YRI - Nitrate Recycle Pump No. 5 Running  
Channel 2 - PL2_4227_235_PMP_0311_YAF - Nitrate Recycle Pump No. 5 Fault  
Channel 3 - PL2_4227_235_PMP_0311_TAH - Nitrate Recycle Pump No. 5 High Temp  
Channel 4 - PL2_4227_235_PMP_0311_MAH - Nitrate Recycle Pump No. 5 Leak  
Channel 5 - PL2_4227_235_PMP_0311_YAE - Nitrate Recycle Pump No. 5 E-Stop  
Channel 6 - PL2_4227_235_PMP_0312_YCI - Nitrate Recycle Pump No. 6 In Remote  
Channel 7 - PL2_4227_235_PMP_0312_YRI - Nitrate Recycle Pump No. 6 Running  
Channel 8 - PL2_4227_235_PMP_0312_YAF - Nitrate Recycle Pump No. 6 Fault  
Channel 9 - PL2_4227_235_PMP_0312_TAH - Nitrate Recycle Pump No. 6 High Temp  
Channel 10 - PL2_4227_235_PMP_0312_MAH - Nitrate Recycle Pump No. 6 Leak  
Channel 11 - PL2_4227_235_PMP_0312_YAE - Nitrate Recycle Pump No. 6 E-Stop  
Channel 12 -  
Channel 13 -  
Channel 14 -  
Channel 15 -  
</v>
      </c>
      <c r="O36" s="18" t="str">
        <f t="shared" si="0"/>
        <v xml:space="preserve">Channel 0 - PL2_4227_235_PMP_0311_YCI - Nitrate Recycle Pump No. 5 In Remote  
</v>
      </c>
    </row>
    <row r="37" spans="2:15" x14ac:dyDescent="0.25">
      <c r="B37" t="s">
        <v>1785</v>
      </c>
      <c r="C37" s="1">
        <v>8</v>
      </c>
      <c r="D37" s="1">
        <v>1</v>
      </c>
      <c r="E37" t="s">
        <v>5</v>
      </c>
      <c r="F37" t="s">
        <v>961</v>
      </c>
      <c r="G37" t="s">
        <v>628</v>
      </c>
      <c r="H37" t="s">
        <v>18</v>
      </c>
      <c r="J37" t="s">
        <v>44</v>
      </c>
      <c r="K37" t="s">
        <v>1815</v>
      </c>
      <c r="L37" s="29"/>
      <c r="M37" s="18" t="str">
        <f t="shared" si="1"/>
        <v>XIC R1S12:8:I.Data.1 OTE PL2_4227_235_PMP_0311_YRI</v>
      </c>
      <c r="N37" s="28"/>
      <c r="O37" s="18" t="str">
        <f t="shared" si="0"/>
        <v xml:space="preserve">Channel 1 - PL2_4227_235_PMP_0311_YRI - Nitrate Recycle Pump No. 5 Running  
</v>
      </c>
    </row>
    <row r="38" spans="2:15" x14ac:dyDescent="0.25">
      <c r="B38" t="s">
        <v>1785</v>
      </c>
      <c r="C38" s="1">
        <v>8</v>
      </c>
      <c r="D38" s="1">
        <v>2</v>
      </c>
      <c r="E38" t="s">
        <v>5</v>
      </c>
      <c r="F38" t="s">
        <v>962</v>
      </c>
      <c r="G38" t="s">
        <v>628</v>
      </c>
      <c r="H38" t="s">
        <v>101</v>
      </c>
      <c r="J38" t="s">
        <v>632</v>
      </c>
      <c r="K38" t="s">
        <v>1816</v>
      </c>
      <c r="L38" s="29"/>
      <c r="M38" s="18" t="str">
        <f t="shared" si="1"/>
        <v>fbDigital PL2_4227_235_PMP_0311_YAF R1S12:8:I.Data.2</v>
      </c>
      <c r="N38" s="28"/>
      <c r="O38" s="18" t="str">
        <f t="shared" si="0"/>
        <v xml:space="preserve">Channel 2 - PL2_4227_235_PMP_0311_YAF - Nitrate Recycle Pump No. 5 Fault  
</v>
      </c>
    </row>
    <row r="39" spans="2:15" x14ac:dyDescent="0.25">
      <c r="B39" t="s">
        <v>1785</v>
      </c>
      <c r="C39" s="1">
        <v>8</v>
      </c>
      <c r="D39" s="1">
        <v>3</v>
      </c>
      <c r="E39" t="s">
        <v>5</v>
      </c>
      <c r="F39" t="s">
        <v>1883</v>
      </c>
      <c r="G39" t="s">
        <v>628</v>
      </c>
      <c r="H39" t="s">
        <v>105</v>
      </c>
      <c r="J39" t="s">
        <v>632</v>
      </c>
      <c r="K39" t="s">
        <v>1892</v>
      </c>
      <c r="L39" s="29"/>
      <c r="M39" s="18" t="str">
        <f t="shared" si="1"/>
        <v>fbDigital PL2_4227_235_PMP_0311_TAH R1S12:8:I.Data.3</v>
      </c>
      <c r="N39" s="28"/>
      <c r="O39" s="18" t="str">
        <f t="shared" si="0"/>
        <v xml:space="preserve">Channel 3 - PL2_4227_235_PMP_0311_TAH - Nitrate Recycle Pump No. 5 High Temp  
</v>
      </c>
    </row>
    <row r="40" spans="2:15" x14ac:dyDescent="0.25">
      <c r="B40" t="s">
        <v>1785</v>
      </c>
      <c r="C40" s="1">
        <v>8</v>
      </c>
      <c r="D40" s="1">
        <v>4</v>
      </c>
      <c r="E40" t="s">
        <v>5</v>
      </c>
      <c r="F40" t="s">
        <v>963</v>
      </c>
      <c r="G40" t="s">
        <v>628</v>
      </c>
      <c r="H40" t="s">
        <v>623</v>
      </c>
      <c r="J40" t="s">
        <v>632</v>
      </c>
      <c r="K40" t="s">
        <v>1817</v>
      </c>
      <c r="L40" s="29"/>
      <c r="M40" s="18" t="str">
        <f t="shared" si="1"/>
        <v>fbDigital PL2_4227_235_PMP_0311_MAH R1S12:8:I.Data.4</v>
      </c>
      <c r="N40" s="28"/>
      <c r="O40" s="18" t="str">
        <f t="shared" si="0"/>
        <v xml:space="preserve">Channel 4 - PL2_4227_235_PMP_0311_MAH - Nitrate Recycle Pump No. 5 Leak  
</v>
      </c>
    </row>
    <row r="41" spans="2:15" x14ac:dyDescent="0.25">
      <c r="B41" t="s">
        <v>1785</v>
      </c>
      <c r="C41" s="1">
        <v>8</v>
      </c>
      <c r="D41" s="1">
        <v>5</v>
      </c>
      <c r="E41" t="s">
        <v>5</v>
      </c>
      <c r="F41" t="s">
        <v>964</v>
      </c>
      <c r="G41" t="s">
        <v>628</v>
      </c>
      <c r="H41" t="s">
        <v>104</v>
      </c>
      <c r="J41" t="s">
        <v>632</v>
      </c>
      <c r="K41" t="s">
        <v>1818</v>
      </c>
      <c r="L41" s="29"/>
      <c r="M41" s="18" t="str">
        <f t="shared" si="1"/>
        <v>fbDigital PL2_4227_235_PMP_0311_YAE R1S12:8:I.Data.5</v>
      </c>
      <c r="N41" s="28"/>
      <c r="O41" s="18" t="str">
        <f t="shared" si="0"/>
        <v xml:space="preserve">Channel 5 - PL2_4227_235_PMP_0311_YAE - Nitrate Recycle Pump No. 5 E-Stop  
</v>
      </c>
    </row>
    <row r="42" spans="2:15" x14ac:dyDescent="0.25">
      <c r="B42" t="s">
        <v>1785</v>
      </c>
      <c r="C42" s="1">
        <v>8</v>
      </c>
      <c r="D42" s="1">
        <v>6</v>
      </c>
      <c r="E42" t="s">
        <v>5</v>
      </c>
      <c r="F42" t="s">
        <v>970</v>
      </c>
      <c r="G42" t="s">
        <v>629</v>
      </c>
      <c r="H42" t="s">
        <v>633</v>
      </c>
      <c r="J42" t="s">
        <v>44</v>
      </c>
      <c r="K42" t="s">
        <v>1819</v>
      </c>
      <c r="L42" s="29"/>
      <c r="M42" s="18" t="str">
        <f t="shared" si="1"/>
        <v>XIC R1S12:8:I.Data.6 OTE PL2_4227_235_PMP_0312_YCI</v>
      </c>
      <c r="N42" s="28"/>
      <c r="O42" s="18" t="str">
        <f t="shared" si="0"/>
        <v xml:space="preserve">Channel 6 - PL2_4227_235_PMP_0312_YCI - Nitrate Recycle Pump No. 6 In Remote  
</v>
      </c>
    </row>
    <row r="43" spans="2:15" x14ac:dyDescent="0.25">
      <c r="B43" t="s">
        <v>1785</v>
      </c>
      <c r="C43" s="1">
        <v>8</v>
      </c>
      <c r="D43" s="1">
        <v>7</v>
      </c>
      <c r="E43" t="s">
        <v>5</v>
      </c>
      <c r="F43" t="s">
        <v>971</v>
      </c>
      <c r="G43" t="s">
        <v>629</v>
      </c>
      <c r="H43" t="s">
        <v>18</v>
      </c>
      <c r="J43" t="s">
        <v>44</v>
      </c>
      <c r="K43" t="s">
        <v>1820</v>
      </c>
      <c r="L43" s="29"/>
      <c r="M43" s="18" t="str">
        <f t="shared" si="1"/>
        <v>XIC R1S12:8:I.Data.7 OTE PL2_4227_235_PMP_0312_YRI</v>
      </c>
      <c r="N43" s="28"/>
      <c r="O43" s="18" t="str">
        <f t="shared" si="0"/>
        <v xml:space="preserve">Channel 7 - PL2_4227_235_PMP_0312_YRI - Nitrate Recycle Pump No. 6 Running  
</v>
      </c>
    </row>
    <row r="44" spans="2:15" x14ac:dyDescent="0.25">
      <c r="B44" t="s">
        <v>1785</v>
      </c>
      <c r="C44" s="1">
        <v>8</v>
      </c>
      <c r="D44" s="1">
        <v>8</v>
      </c>
      <c r="E44" t="s">
        <v>5</v>
      </c>
      <c r="F44" t="s">
        <v>972</v>
      </c>
      <c r="G44" t="s">
        <v>629</v>
      </c>
      <c r="H44" t="s">
        <v>101</v>
      </c>
      <c r="J44" t="s">
        <v>632</v>
      </c>
      <c r="K44" t="s">
        <v>1821</v>
      </c>
      <c r="L44" s="29"/>
      <c r="M44" s="18" t="str">
        <f t="shared" si="1"/>
        <v>fbDigital PL2_4227_235_PMP_0312_YAF R1S12:8:I.Data.8</v>
      </c>
      <c r="N44" s="28"/>
      <c r="O44" s="18" t="str">
        <f t="shared" si="0"/>
        <v xml:space="preserve">Channel 8 - PL2_4227_235_PMP_0312_YAF - Nitrate Recycle Pump No. 6 Fault  
</v>
      </c>
    </row>
    <row r="45" spans="2:15" x14ac:dyDescent="0.25">
      <c r="B45" t="s">
        <v>1785</v>
      </c>
      <c r="C45" s="1">
        <v>8</v>
      </c>
      <c r="D45" s="1">
        <v>9</v>
      </c>
      <c r="E45" t="s">
        <v>5</v>
      </c>
      <c r="F45" t="s">
        <v>1884</v>
      </c>
      <c r="G45" t="s">
        <v>629</v>
      </c>
      <c r="H45" t="s">
        <v>105</v>
      </c>
      <c r="J45" t="s">
        <v>632</v>
      </c>
      <c r="K45" t="s">
        <v>1893</v>
      </c>
      <c r="L45" s="29"/>
      <c r="M45" s="18" t="str">
        <f t="shared" si="1"/>
        <v>fbDigital PL2_4227_235_PMP_0312_TAH R1S12:8:I.Data.9</v>
      </c>
      <c r="N45" s="28"/>
      <c r="O45" s="18" t="str">
        <f t="shared" si="0"/>
        <v xml:space="preserve">Channel 9 - PL2_4227_235_PMP_0312_TAH - Nitrate Recycle Pump No. 6 High Temp  
</v>
      </c>
    </row>
    <row r="46" spans="2:15" x14ac:dyDescent="0.25">
      <c r="B46" t="s">
        <v>1785</v>
      </c>
      <c r="C46" s="1">
        <v>8</v>
      </c>
      <c r="D46" s="1">
        <v>10</v>
      </c>
      <c r="E46" t="s">
        <v>5</v>
      </c>
      <c r="F46" t="s">
        <v>973</v>
      </c>
      <c r="G46" t="s">
        <v>629</v>
      </c>
      <c r="H46" t="s">
        <v>623</v>
      </c>
      <c r="J46" t="s">
        <v>632</v>
      </c>
      <c r="K46" t="s">
        <v>1822</v>
      </c>
      <c r="L46" s="29"/>
      <c r="M46" s="18" t="str">
        <f t="shared" si="1"/>
        <v>fbDigital PL2_4227_235_PMP_0312_MAH R1S12:8:I.Data.10</v>
      </c>
      <c r="N46" s="28"/>
      <c r="O46" s="18" t="str">
        <f t="shared" si="0"/>
        <v xml:space="preserve">Channel 10 - PL2_4227_235_PMP_0312_MAH - Nitrate Recycle Pump No. 6 Leak  
</v>
      </c>
    </row>
    <row r="47" spans="2:15" x14ac:dyDescent="0.25">
      <c r="B47" t="s">
        <v>1785</v>
      </c>
      <c r="C47" s="1">
        <v>8</v>
      </c>
      <c r="D47" s="1">
        <v>11</v>
      </c>
      <c r="E47" t="s">
        <v>5</v>
      </c>
      <c r="F47" t="s">
        <v>974</v>
      </c>
      <c r="G47" t="s">
        <v>629</v>
      </c>
      <c r="H47" t="s">
        <v>104</v>
      </c>
      <c r="J47" t="s">
        <v>632</v>
      </c>
      <c r="K47" t="s">
        <v>1823</v>
      </c>
      <c r="L47" s="29"/>
      <c r="M47" s="18" t="str">
        <f t="shared" si="1"/>
        <v>fbDigital PL2_4227_235_PMP_0312_YAE R1S12:8:I.Data.11</v>
      </c>
      <c r="N47" s="28"/>
      <c r="O47" s="18" t="str">
        <f t="shared" si="0"/>
        <v xml:space="preserve">Channel 11 - PL2_4227_235_PMP_0312_YAE - Nitrate Recycle Pump No. 6 E-Stop  
</v>
      </c>
    </row>
    <row r="48" spans="2:15" x14ac:dyDescent="0.25">
      <c r="B48" t="s">
        <v>1785</v>
      </c>
      <c r="C48" s="1">
        <v>8</v>
      </c>
      <c r="D48" s="1">
        <v>12</v>
      </c>
      <c r="E48" t="s">
        <v>5</v>
      </c>
      <c r="K48" t="s">
        <v>1824</v>
      </c>
      <c r="L48" s="29"/>
      <c r="M48" s="18" t="str">
        <f t="shared" si="1"/>
        <v>XIC R1S12:8:I.Data.12 NOP</v>
      </c>
      <c r="N48" s="28"/>
      <c r="O48" s="18" t="str">
        <f t="shared" si="0"/>
        <v xml:space="preserve">Channel 12 -  
</v>
      </c>
    </row>
    <row r="49" spans="2:15" x14ac:dyDescent="0.25">
      <c r="B49" t="s">
        <v>1785</v>
      </c>
      <c r="C49" s="1">
        <v>8</v>
      </c>
      <c r="D49" s="1">
        <v>13</v>
      </c>
      <c r="E49" t="s">
        <v>5</v>
      </c>
      <c r="K49" t="s">
        <v>1825</v>
      </c>
      <c r="L49" s="29"/>
      <c r="M49" s="18" t="str">
        <f t="shared" si="1"/>
        <v>XIC R1S12:8:I.Data.13 NOP</v>
      </c>
      <c r="N49" s="28"/>
      <c r="O49" s="18" t="str">
        <f t="shared" si="0"/>
        <v xml:space="preserve">Channel 13 -  
</v>
      </c>
    </row>
    <row r="50" spans="2:15" x14ac:dyDescent="0.25">
      <c r="B50" t="s">
        <v>1785</v>
      </c>
      <c r="C50" s="1">
        <v>8</v>
      </c>
      <c r="D50" s="1">
        <v>14</v>
      </c>
      <c r="E50" t="s">
        <v>5</v>
      </c>
      <c r="K50" t="s">
        <v>1826</v>
      </c>
      <c r="L50" s="29"/>
      <c r="M50" s="18" t="str">
        <f t="shared" si="1"/>
        <v>XIC R1S12:8:I.Data.14 NOP</v>
      </c>
      <c r="N50" s="28"/>
      <c r="O50" s="18" t="str">
        <f t="shared" si="0"/>
        <v xml:space="preserve">Channel 14 -  
</v>
      </c>
    </row>
    <row r="51" spans="2:15" x14ac:dyDescent="0.25">
      <c r="B51" t="s">
        <v>1785</v>
      </c>
      <c r="C51" s="1">
        <v>8</v>
      </c>
      <c r="D51" s="1">
        <v>15</v>
      </c>
      <c r="E51" t="s">
        <v>5</v>
      </c>
      <c r="K51" t="s">
        <v>1827</v>
      </c>
      <c r="L51" s="29"/>
      <c r="M51" s="18" t="str">
        <f t="shared" si="1"/>
        <v>XIC R1S12:8:I.Data.15 NOP</v>
      </c>
      <c r="N51" s="28"/>
      <c r="O51" s="18" t="str">
        <f t="shared" si="0"/>
        <v xml:space="preserve">Channel 15 -  
</v>
      </c>
    </row>
    <row r="52" spans="2:15" ht="15" customHeight="1" x14ac:dyDescent="0.25">
      <c r="B52" t="s">
        <v>1785</v>
      </c>
      <c r="C52" s="1">
        <v>9</v>
      </c>
      <c r="D52" s="1">
        <v>0</v>
      </c>
      <c r="E52" t="s">
        <v>5</v>
      </c>
      <c r="K52" t="s">
        <v>1828</v>
      </c>
      <c r="L52" s="29" t="s">
        <v>1781</v>
      </c>
      <c r="M52" s="18" t="str">
        <f t="shared" ref="M52:M67" si="2">IF(B52 = "P2P",
          "Real P2P Condition",
IF(B52 = "Dummy P2P",
          IF(E52 = "DI",
                    IF(J52 = "fbDigital",
                              _xlfn.CONCAT("fbDigital ", F52, " ", F52, ".i_Raw"),
                              _xlfn.CONCAT("XIC Always_False OTE ", F52)),
                    IF(E52 = "DO",
                              _xlfn.CONCAT("XIC ", F52, " OTE Communication_Command_"),
                              IF(E52 = "AI",
                                        IF(J52 = "fbAnalog",
                                                  _xlfn.CONCAT("fbAnalog ", F52, " SysClock.o_NewDay 0 0 0.0"),
                                                  _xlfn.CONCAT("MOVE 0.0 ", F52)),
                                        IF(E52 = "AO",
                                                  _xlfn.CONCAT("MOVE ", F52, " Communication_Setpoint"),
                                                  "Set Type")))),
IF(E52 = "DI",
          IF(ISBLANK(F52),
                    _xlfn.CONCAT("XIC ", B52, ":", C52, ":I.Data.", D52, " NOP"),
                    IF(ISNUMBER(SEARCH("fbDigital", J52)),
                              _xlfn.CONCAT("fbDigital ", F52, " ", B52, ":", C52, ":I.Data.", D52),
                              _xlfn.CONCAT("XIC ", B52, ":", C52, ":I.Data.", D52, " OTE ", F52))),
IF(E52 = "DO",
          IF(ISBLANK(F52),
                    _xlfn.CONCAT("XIC ",B52, ":", C52, ":O.Data.", D52, " OTE ", B52, ":", C52, ":O.Data.", D52),
                    _xlfn.CONCAT("XIC ", F52, " OTE ", B52, ":", C52, ":O.Data.", D52)),
IF(E52 = "AI",
          IF(ISBLANK(F52),
                    "NOP",
                    IF(ISNUMBER(SEARCH("fbAnalog", J52)),
                              _xlfn.CONCAT("fbAnalog ", F52, " SysClock.o_NewDay ", B52, ":", C52, ":I.Ch[", D52, "].Fault 0 ", B52, ":", C52, ":I.Ch[", D52, "].Data"),
                              _xlfn.CONCAT("MOVE ", B52, ":", C52, ":I.Ch[", D52, "].Data ", F52))),
IF(E52 = "AO",
          IF(ISBLANK(F52),
                    "NOP",
                    _xlfn.CONCAT("MOVE ", F52, " ", B52, ":", C52, ":O.Ch[", D52, "].Data")),
"Set Rack and Type"))))))</f>
        <v>XIC R1S12:9:I.Data.0 NOP</v>
      </c>
      <c r="N52" s="28" t="str">
        <f>_xlfn.CONCAT("*************************************************************", CHAR(10), "Rack ", IF(ISNUMBER(B52), B52, 1), " Slot ", C52, " - ",
IF(E52="DI", "Digital Inputs", IF(E52="DO", "Digital Outputs", IF(E52="AI", "Analog Inputs", IF(E52="AO", "Analog Outputs", "Unknown")))), CHAR(10), "*************************************************************", CHAR(10),
O52:O67)</f>
        <v xml:space="preserve">*************************************************************
Rack 1 Slot 9 - Digital Inputs
*************************************************************
Channel 0 -  
Channel 1 -  
Channel 2 -  
Channel 3 -  
Channel 4 -  
Channel 5 -  
Channel 6 -  
Channel 7 -  
Channel 8 -  
Channel 9 -  
Channel 10 -  
Channel 11 -  
Channel 12 -  
Channel 13 -  
Channel 14 -  
Channel 15 -  
</v>
      </c>
      <c r="O52" s="18" t="str">
        <f t="shared" ref="O52:O67" si="3">_xlfn.CONCAT("Channel ", D52, " - ", IF(ISBLANK(F52), " ", _xlfn.CONCAT(F52, " - ", IF(ISBLANK(G52), " ", _xlfn.CONCAT(G52, " ", IF(ISBLANK(H52), " ", _xlfn.CONCAT(H52, " ", IF(ISBLANK(I52), " ", I52))))))), CHAR(10))</f>
        <v xml:space="preserve">Channel 0 -  
</v>
      </c>
    </row>
    <row r="53" spans="2:15" x14ac:dyDescent="0.25">
      <c r="B53" t="s">
        <v>1785</v>
      </c>
      <c r="C53" s="1">
        <v>9</v>
      </c>
      <c r="D53" s="1">
        <v>1</v>
      </c>
      <c r="E53" t="s">
        <v>5</v>
      </c>
      <c r="K53" t="s">
        <v>1829</v>
      </c>
      <c r="L53" s="29"/>
      <c r="M53" s="18" t="str">
        <f t="shared" si="2"/>
        <v>XIC R1S12:9:I.Data.1 NOP</v>
      </c>
      <c r="N53" s="28"/>
      <c r="O53" s="18" t="str">
        <f t="shared" si="3"/>
        <v xml:space="preserve">Channel 1 -  
</v>
      </c>
    </row>
    <row r="54" spans="2:15" x14ac:dyDescent="0.25">
      <c r="B54" t="s">
        <v>1785</v>
      </c>
      <c r="C54" s="1">
        <v>9</v>
      </c>
      <c r="D54" s="1">
        <v>2</v>
      </c>
      <c r="E54" t="s">
        <v>5</v>
      </c>
      <c r="K54" t="s">
        <v>1830</v>
      </c>
      <c r="L54" s="29"/>
      <c r="M54" s="18" t="str">
        <f t="shared" si="2"/>
        <v>XIC R1S12:9:I.Data.2 NOP</v>
      </c>
      <c r="N54" s="28"/>
      <c r="O54" s="18" t="str">
        <f t="shared" si="3"/>
        <v xml:space="preserve">Channel 2 -  
</v>
      </c>
    </row>
    <row r="55" spans="2:15" x14ac:dyDescent="0.25">
      <c r="B55" t="s">
        <v>1785</v>
      </c>
      <c r="C55" s="1">
        <v>9</v>
      </c>
      <c r="D55" s="1">
        <v>3</v>
      </c>
      <c r="E55" t="s">
        <v>5</v>
      </c>
      <c r="K55" t="s">
        <v>1831</v>
      </c>
      <c r="L55" s="29"/>
      <c r="M55" s="18" t="str">
        <f t="shared" si="2"/>
        <v>XIC R1S12:9:I.Data.3 NOP</v>
      </c>
      <c r="N55" s="28"/>
      <c r="O55" s="18" t="str">
        <f t="shared" si="3"/>
        <v xml:space="preserve">Channel 3 -  
</v>
      </c>
    </row>
    <row r="56" spans="2:15" x14ac:dyDescent="0.25">
      <c r="B56" t="s">
        <v>1785</v>
      </c>
      <c r="C56" s="1">
        <v>9</v>
      </c>
      <c r="D56" s="1">
        <v>4</v>
      </c>
      <c r="E56" t="s">
        <v>5</v>
      </c>
      <c r="K56" t="s">
        <v>1832</v>
      </c>
      <c r="L56" s="29"/>
      <c r="M56" s="18" t="str">
        <f t="shared" si="2"/>
        <v>XIC R1S12:9:I.Data.4 NOP</v>
      </c>
      <c r="N56" s="28"/>
      <c r="O56" s="18" t="str">
        <f t="shared" si="3"/>
        <v xml:space="preserve">Channel 4 -  
</v>
      </c>
    </row>
    <row r="57" spans="2:15" x14ac:dyDescent="0.25">
      <c r="B57" t="s">
        <v>1785</v>
      </c>
      <c r="C57" s="1">
        <v>9</v>
      </c>
      <c r="D57" s="1">
        <v>5</v>
      </c>
      <c r="E57" t="s">
        <v>5</v>
      </c>
      <c r="K57" t="s">
        <v>1833</v>
      </c>
      <c r="L57" s="29"/>
      <c r="M57" s="18" t="str">
        <f t="shared" si="2"/>
        <v>XIC R1S12:9:I.Data.5 NOP</v>
      </c>
      <c r="N57" s="28"/>
      <c r="O57" s="18" t="str">
        <f t="shared" si="3"/>
        <v xml:space="preserve">Channel 5 -  
</v>
      </c>
    </row>
    <row r="58" spans="2:15" x14ac:dyDescent="0.25">
      <c r="B58" t="s">
        <v>1785</v>
      </c>
      <c r="C58" s="1">
        <v>9</v>
      </c>
      <c r="D58" s="1">
        <v>6</v>
      </c>
      <c r="E58" t="s">
        <v>5</v>
      </c>
      <c r="K58" t="s">
        <v>1834</v>
      </c>
      <c r="L58" s="29"/>
      <c r="M58" s="18" t="str">
        <f t="shared" si="2"/>
        <v>XIC R1S12:9:I.Data.6 NOP</v>
      </c>
      <c r="N58" s="28"/>
      <c r="O58" s="18" t="str">
        <f t="shared" si="3"/>
        <v xml:space="preserve">Channel 6 -  
</v>
      </c>
    </row>
    <row r="59" spans="2:15" x14ac:dyDescent="0.25">
      <c r="B59" t="s">
        <v>1785</v>
      </c>
      <c r="C59" s="1">
        <v>9</v>
      </c>
      <c r="D59" s="1">
        <v>7</v>
      </c>
      <c r="E59" t="s">
        <v>5</v>
      </c>
      <c r="K59" t="s">
        <v>1835</v>
      </c>
      <c r="L59" s="29"/>
      <c r="M59" s="18" t="str">
        <f t="shared" si="2"/>
        <v>XIC R1S12:9:I.Data.7 NOP</v>
      </c>
      <c r="N59" s="28"/>
      <c r="O59" s="18" t="str">
        <f t="shared" si="3"/>
        <v xml:space="preserve">Channel 7 -  
</v>
      </c>
    </row>
    <row r="60" spans="2:15" x14ac:dyDescent="0.25">
      <c r="B60" t="s">
        <v>1785</v>
      </c>
      <c r="C60" s="1">
        <v>9</v>
      </c>
      <c r="D60" s="1">
        <v>8</v>
      </c>
      <c r="E60" t="s">
        <v>5</v>
      </c>
      <c r="K60" t="s">
        <v>1836</v>
      </c>
      <c r="L60" s="29"/>
      <c r="M60" s="18" t="str">
        <f t="shared" si="2"/>
        <v>XIC R1S12:9:I.Data.8 NOP</v>
      </c>
      <c r="N60" s="28"/>
      <c r="O60" s="18" t="str">
        <f t="shared" si="3"/>
        <v xml:space="preserve">Channel 8 -  
</v>
      </c>
    </row>
    <row r="61" spans="2:15" x14ac:dyDescent="0.25">
      <c r="B61" t="s">
        <v>1785</v>
      </c>
      <c r="C61" s="1">
        <v>9</v>
      </c>
      <c r="D61" s="1">
        <v>9</v>
      </c>
      <c r="E61" t="s">
        <v>5</v>
      </c>
      <c r="K61" t="s">
        <v>1837</v>
      </c>
      <c r="L61" s="29"/>
      <c r="M61" s="18" t="str">
        <f t="shared" si="2"/>
        <v>XIC R1S12:9:I.Data.9 NOP</v>
      </c>
      <c r="N61" s="28"/>
      <c r="O61" s="18" t="str">
        <f t="shared" si="3"/>
        <v xml:space="preserve">Channel 9 -  
</v>
      </c>
    </row>
    <row r="62" spans="2:15" x14ac:dyDescent="0.25">
      <c r="B62" t="s">
        <v>1785</v>
      </c>
      <c r="C62" s="1">
        <v>9</v>
      </c>
      <c r="D62" s="1">
        <v>10</v>
      </c>
      <c r="E62" t="s">
        <v>5</v>
      </c>
      <c r="K62" t="s">
        <v>1838</v>
      </c>
      <c r="L62" s="29"/>
      <c r="M62" s="18" t="str">
        <f t="shared" si="2"/>
        <v>XIC R1S12:9:I.Data.10 NOP</v>
      </c>
      <c r="N62" s="28"/>
      <c r="O62" s="18" t="str">
        <f t="shared" si="3"/>
        <v xml:space="preserve">Channel 10 -  
</v>
      </c>
    </row>
    <row r="63" spans="2:15" x14ac:dyDescent="0.25">
      <c r="B63" t="s">
        <v>1785</v>
      </c>
      <c r="C63" s="1">
        <v>9</v>
      </c>
      <c r="D63" s="1">
        <v>11</v>
      </c>
      <c r="E63" t="s">
        <v>5</v>
      </c>
      <c r="K63" t="s">
        <v>1839</v>
      </c>
      <c r="L63" s="29"/>
      <c r="M63" s="18" t="str">
        <f t="shared" si="2"/>
        <v>XIC R1S12:9:I.Data.11 NOP</v>
      </c>
      <c r="N63" s="28"/>
      <c r="O63" s="18" t="str">
        <f t="shared" si="3"/>
        <v xml:space="preserve">Channel 11 -  
</v>
      </c>
    </row>
    <row r="64" spans="2:15" x14ac:dyDescent="0.25">
      <c r="B64" t="s">
        <v>1785</v>
      </c>
      <c r="C64" s="1">
        <v>9</v>
      </c>
      <c r="D64" s="1">
        <v>12</v>
      </c>
      <c r="E64" t="s">
        <v>5</v>
      </c>
      <c r="K64" t="s">
        <v>1840</v>
      </c>
      <c r="L64" s="29"/>
      <c r="M64" s="18" t="str">
        <f t="shared" si="2"/>
        <v>XIC R1S12:9:I.Data.12 NOP</v>
      </c>
      <c r="N64" s="28"/>
      <c r="O64" s="18" t="str">
        <f t="shared" si="3"/>
        <v xml:space="preserve">Channel 12 -  
</v>
      </c>
    </row>
    <row r="65" spans="2:15" x14ac:dyDescent="0.25">
      <c r="B65" t="s">
        <v>1785</v>
      </c>
      <c r="C65" s="1">
        <v>9</v>
      </c>
      <c r="D65" s="1">
        <v>13</v>
      </c>
      <c r="E65" t="s">
        <v>5</v>
      </c>
      <c r="K65" t="s">
        <v>1841</v>
      </c>
      <c r="L65" s="29"/>
      <c r="M65" s="18" t="str">
        <f t="shared" si="2"/>
        <v>XIC R1S12:9:I.Data.13 NOP</v>
      </c>
      <c r="N65" s="28"/>
      <c r="O65" s="18" t="str">
        <f t="shared" si="3"/>
        <v xml:space="preserve">Channel 13 -  
</v>
      </c>
    </row>
    <row r="66" spans="2:15" x14ac:dyDescent="0.25">
      <c r="B66" t="s">
        <v>1785</v>
      </c>
      <c r="C66" s="1">
        <v>9</v>
      </c>
      <c r="D66" s="1">
        <v>14</v>
      </c>
      <c r="E66" t="s">
        <v>5</v>
      </c>
      <c r="K66" t="s">
        <v>1842</v>
      </c>
      <c r="L66" s="29"/>
      <c r="M66" s="18" t="str">
        <f t="shared" si="2"/>
        <v>XIC R1S12:9:I.Data.14 NOP</v>
      </c>
      <c r="N66" s="28"/>
      <c r="O66" s="18" t="str">
        <f t="shared" si="3"/>
        <v xml:space="preserve">Channel 14 -  
</v>
      </c>
    </row>
    <row r="67" spans="2:15" x14ac:dyDescent="0.25">
      <c r="B67" t="s">
        <v>1785</v>
      </c>
      <c r="C67" s="1">
        <v>9</v>
      </c>
      <c r="D67" s="1">
        <v>15</v>
      </c>
      <c r="E67" t="s">
        <v>5</v>
      </c>
      <c r="K67" t="s">
        <v>1843</v>
      </c>
      <c r="L67" s="29"/>
      <c r="M67" s="18" t="str">
        <f t="shared" si="2"/>
        <v>XIC R1S12:9:I.Data.15 NOP</v>
      </c>
      <c r="N67" s="28"/>
      <c r="O67" s="18" t="str">
        <f t="shared" si="3"/>
        <v xml:space="preserve">Channel 15 -  
</v>
      </c>
    </row>
    <row r="68" spans="2:15" s="15" customFormat="1" x14ac:dyDescent="0.25">
      <c r="C68" s="16"/>
      <c r="D68" s="16"/>
      <c r="L68" s="22"/>
      <c r="M68" s="18" t="str">
        <f t="shared" si="1"/>
        <v>Set Rack and Type</v>
      </c>
      <c r="N68" s="20"/>
      <c r="O68" s="18"/>
    </row>
    <row r="69" spans="2:15" ht="15" customHeight="1" x14ac:dyDescent="0.25">
      <c r="B69" t="s">
        <v>1785</v>
      </c>
      <c r="C69" s="1">
        <v>11</v>
      </c>
      <c r="D69" s="1">
        <v>0</v>
      </c>
      <c r="E69" t="s">
        <v>6</v>
      </c>
      <c r="F69" t="s">
        <v>976</v>
      </c>
      <c r="G69" t="s">
        <v>624</v>
      </c>
      <c r="H69" t="s">
        <v>19</v>
      </c>
      <c r="J69" t="s">
        <v>44</v>
      </c>
      <c r="K69" t="s">
        <v>1844</v>
      </c>
      <c r="L69" s="29" t="s">
        <v>1784</v>
      </c>
      <c r="M69" s="18" t="str">
        <f t="shared" si="1"/>
        <v>XIC PL2_4227_235_PMP_0111_HSS OTE R1S12:11:O.Data.0</v>
      </c>
      <c r="N69" s="28" t="str">
        <f>_xlfn.CONCAT("*************************************************************", CHAR(10), "Rack ", IF(ISNUMBER(B69), B69, 1), " Slot ", C69, " - ",
IF(E69="DI", "Digital Inputs", IF(E69="DO", "Digital Outputs", IF(E69="AI", "Analog Inputs", IF(E69="AO", "Analog Outputs", "Unknown")))), CHAR(10), "*************************************************************", CHAR(10),
O69:O84)</f>
        <v xml:space="preserve">*************************************************************
Rack 1 Slot 11 - Digital Outputs
*************************************************************
Channel 0 - PL2_4227_235_PMP_0111_HSS - Nitrate Recycle Pump No. 1 Start/Stop Command  
Channel 1 - PL2_4227_235_PMP_0112_HSS - Nitrate Recycle Pump No. 2 Start/Stop Command  
Channel 2 - PL2_4227_235_PMP_0211_HSS - Nitrate Recycle Pump No. 3 Start/Stop Command  
Channel 3 - PL2_4227_235_PMP_0212_HSS - Nitrate Recycle Pump No. 4 Start/Stop Command  
Channel 4 - PL2_4227_235_PMP_0311_HSS - Nitrate Recycle Pump No. 5 Start/Stop Command  
Channel 5 - PL2_4227_235_PMP_0312_HSS - Nitrate Recycle Pump No. 6 Start/Stop Command  
Channel 6 -  
Channel 7 -  
Channel 8 -  
Channel 9 -  
Channel 10 -  
Channel 11 -  
Channel 12 -  
Channel 13 -  
Channel 14 -  
Channel 15 -  
</v>
      </c>
      <c r="O69" s="18" t="str">
        <f t="shared" ref="O69:O84" si="4">_xlfn.CONCAT("Channel ", D69, " - ", IF(ISBLANK(F69), " ", _xlfn.CONCAT(F69, " - ", IF(ISBLANK(G69), " ", _xlfn.CONCAT(G69, " ", IF(ISBLANK(H69), " ", _xlfn.CONCAT(H69, " ", IF(ISBLANK(I69), " ", I69))))))), CHAR(10))</f>
        <v xml:space="preserve">Channel 0 - PL2_4227_235_PMP_0111_HSS - Nitrate Recycle Pump No. 1 Start/Stop Command  
</v>
      </c>
    </row>
    <row r="70" spans="2:15" x14ac:dyDescent="0.25">
      <c r="B70" t="s">
        <v>1785</v>
      </c>
      <c r="C70" s="1">
        <v>11</v>
      </c>
      <c r="D70" s="1">
        <v>1</v>
      </c>
      <c r="E70" t="s">
        <v>6</v>
      </c>
      <c r="F70" t="s">
        <v>977</v>
      </c>
      <c r="G70" t="s">
        <v>627</v>
      </c>
      <c r="H70" t="s">
        <v>19</v>
      </c>
      <c r="J70" t="s">
        <v>44</v>
      </c>
      <c r="K70" t="s">
        <v>1845</v>
      </c>
      <c r="L70" s="29"/>
      <c r="M70" s="18" t="str">
        <f t="shared" si="1"/>
        <v>XIC PL2_4227_235_PMP_0112_HSS OTE R1S12:11:O.Data.1</v>
      </c>
      <c r="N70" s="28"/>
      <c r="O70" s="18" t="str">
        <f t="shared" si="4"/>
        <v xml:space="preserve">Channel 1 - PL2_4227_235_PMP_0112_HSS - Nitrate Recycle Pump No. 2 Start/Stop Command  
</v>
      </c>
    </row>
    <row r="71" spans="2:15" x14ac:dyDescent="0.25">
      <c r="B71" t="s">
        <v>1785</v>
      </c>
      <c r="C71" s="1">
        <v>11</v>
      </c>
      <c r="D71" s="1">
        <v>2</v>
      </c>
      <c r="E71" t="s">
        <v>6</v>
      </c>
      <c r="F71" t="s">
        <v>978</v>
      </c>
      <c r="G71" t="s">
        <v>625</v>
      </c>
      <c r="H71" t="s">
        <v>19</v>
      </c>
      <c r="J71" t="s">
        <v>44</v>
      </c>
      <c r="K71" t="s">
        <v>1846</v>
      </c>
      <c r="L71" s="29"/>
      <c r="M71" s="18" t="str">
        <f t="shared" si="1"/>
        <v>XIC PL2_4227_235_PMP_0211_HSS OTE R1S12:11:O.Data.2</v>
      </c>
      <c r="N71" s="28"/>
      <c r="O71" s="18" t="str">
        <f t="shared" si="4"/>
        <v xml:space="preserve">Channel 2 - PL2_4227_235_PMP_0211_HSS - Nitrate Recycle Pump No. 3 Start/Stop Command  
</v>
      </c>
    </row>
    <row r="72" spans="2:15" x14ac:dyDescent="0.25">
      <c r="B72" t="s">
        <v>1785</v>
      </c>
      <c r="C72" s="1">
        <v>11</v>
      </c>
      <c r="D72" s="1">
        <v>3</v>
      </c>
      <c r="E72" t="s">
        <v>6</v>
      </c>
      <c r="F72" t="s">
        <v>979</v>
      </c>
      <c r="G72" t="s">
        <v>626</v>
      </c>
      <c r="H72" t="s">
        <v>19</v>
      </c>
      <c r="J72" t="s">
        <v>44</v>
      </c>
      <c r="K72" t="s">
        <v>1847</v>
      </c>
      <c r="L72" s="29"/>
      <c r="M72" s="18" t="str">
        <f t="shared" si="1"/>
        <v>XIC PL2_4227_235_PMP_0212_HSS OTE R1S12:11:O.Data.3</v>
      </c>
      <c r="N72" s="28"/>
      <c r="O72" s="18" t="str">
        <f t="shared" si="4"/>
        <v xml:space="preserve">Channel 3 - PL2_4227_235_PMP_0212_HSS - Nitrate Recycle Pump No. 4 Start/Stop Command  
</v>
      </c>
    </row>
    <row r="73" spans="2:15" x14ac:dyDescent="0.25">
      <c r="B73" t="s">
        <v>1785</v>
      </c>
      <c r="C73" s="1">
        <v>11</v>
      </c>
      <c r="D73" s="1">
        <v>4</v>
      </c>
      <c r="E73" t="s">
        <v>6</v>
      </c>
      <c r="F73" t="s">
        <v>980</v>
      </c>
      <c r="G73" t="s">
        <v>628</v>
      </c>
      <c r="H73" t="s">
        <v>19</v>
      </c>
      <c r="J73" t="s">
        <v>44</v>
      </c>
      <c r="K73" t="s">
        <v>1848</v>
      </c>
      <c r="L73" s="29"/>
      <c r="M73" s="18" t="str">
        <f t="shared" si="1"/>
        <v>XIC PL2_4227_235_PMP_0311_HSS OTE R1S12:11:O.Data.4</v>
      </c>
      <c r="N73" s="28"/>
      <c r="O73" s="18" t="str">
        <f t="shared" si="4"/>
        <v xml:space="preserve">Channel 4 - PL2_4227_235_PMP_0311_HSS - Nitrate Recycle Pump No. 5 Start/Stop Command  
</v>
      </c>
    </row>
    <row r="74" spans="2:15" x14ac:dyDescent="0.25">
      <c r="B74" t="s">
        <v>1785</v>
      </c>
      <c r="C74" s="1">
        <v>11</v>
      </c>
      <c r="D74" s="1">
        <v>5</v>
      </c>
      <c r="E74" t="s">
        <v>6</v>
      </c>
      <c r="F74" t="s">
        <v>975</v>
      </c>
      <c r="G74" t="s">
        <v>629</v>
      </c>
      <c r="H74" t="s">
        <v>19</v>
      </c>
      <c r="J74" t="s">
        <v>44</v>
      </c>
      <c r="K74" t="s">
        <v>1849</v>
      </c>
      <c r="L74" s="29"/>
      <c r="M74" s="18" t="str">
        <f t="shared" si="1"/>
        <v>XIC PL2_4227_235_PMP_0312_HSS OTE R1S12:11:O.Data.5</v>
      </c>
      <c r="N74" s="28"/>
      <c r="O74" s="18" t="str">
        <f t="shared" si="4"/>
        <v xml:space="preserve">Channel 5 - PL2_4227_235_PMP_0312_HSS - Nitrate Recycle Pump No. 6 Start/Stop Command  
</v>
      </c>
    </row>
    <row r="75" spans="2:15" x14ac:dyDescent="0.25">
      <c r="B75" t="s">
        <v>1785</v>
      </c>
      <c r="C75" s="1">
        <v>11</v>
      </c>
      <c r="D75" s="1">
        <v>6</v>
      </c>
      <c r="E75" t="s">
        <v>6</v>
      </c>
      <c r="K75" t="s">
        <v>1850</v>
      </c>
      <c r="L75" s="29"/>
      <c r="M75" s="18" t="str">
        <f t="shared" si="1"/>
        <v>XIC R1S12:11:O.Data.6 OTE R1S12:11:O.Data.6</v>
      </c>
      <c r="N75" s="28"/>
      <c r="O75" s="18" t="str">
        <f t="shared" si="4"/>
        <v xml:space="preserve">Channel 6 -  
</v>
      </c>
    </row>
    <row r="76" spans="2:15" x14ac:dyDescent="0.25">
      <c r="B76" t="s">
        <v>1785</v>
      </c>
      <c r="C76" s="1">
        <v>11</v>
      </c>
      <c r="D76" s="1">
        <v>7</v>
      </c>
      <c r="E76" t="s">
        <v>6</v>
      </c>
      <c r="K76" t="s">
        <v>1851</v>
      </c>
      <c r="L76" s="29"/>
      <c r="M76" s="18" t="str">
        <f t="shared" si="1"/>
        <v>XIC R1S12:11:O.Data.7 OTE R1S12:11:O.Data.7</v>
      </c>
      <c r="N76" s="28"/>
      <c r="O76" s="18" t="str">
        <f t="shared" si="4"/>
        <v xml:space="preserve">Channel 7 -  
</v>
      </c>
    </row>
    <row r="77" spans="2:15" x14ac:dyDescent="0.25">
      <c r="B77" t="s">
        <v>1785</v>
      </c>
      <c r="C77" s="1">
        <v>11</v>
      </c>
      <c r="D77" s="1">
        <v>8</v>
      </c>
      <c r="E77" t="s">
        <v>6</v>
      </c>
      <c r="K77" t="s">
        <v>1852</v>
      </c>
      <c r="L77" s="29"/>
      <c r="M77" s="18" t="str">
        <f t="shared" si="1"/>
        <v>XIC R1S12:11:O.Data.8 OTE R1S12:11:O.Data.8</v>
      </c>
      <c r="N77" s="28"/>
      <c r="O77" s="18" t="str">
        <f t="shared" si="4"/>
        <v xml:space="preserve">Channel 8 -  
</v>
      </c>
    </row>
    <row r="78" spans="2:15" x14ac:dyDescent="0.25">
      <c r="B78" t="s">
        <v>1785</v>
      </c>
      <c r="C78" s="1">
        <v>11</v>
      </c>
      <c r="D78" s="1">
        <v>9</v>
      </c>
      <c r="E78" t="s">
        <v>6</v>
      </c>
      <c r="K78" t="s">
        <v>1853</v>
      </c>
      <c r="L78" s="29"/>
      <c r="M78" s="18" t="str">
        <f t="shared" si="1"/>
        <v>XIC R1S12:11:O.Data.9 OTE R1S12:11:O.Data.9</v>
      </c>
      <c r="N78" s="28"/>
      <c r="O78" s="18" t="str">
        <f t="shared" si="4"/>
        <v xml:space="preserve">Channel 9 -  
</v>
      </c>
    </row>
    <row r="79" spans="2:15" x14ac:dyDescent="0.25">
      <c r="B79" t="s">
        <v>1785</v>
      </c>
      <c r="C79" s="1">
        <v>11</v>
      </c>
      <c r="D79" s="1">
        <v>10</v>
      </c>
      <c r="E79" t="s">
        <v>6</v>
      </c>
      <c r="K79" t="s">
        <v>1854</v>
      </c>
      <c r="L79" s="29"/>
      <c r="M79" s="18" t="str">
        <f t="shared" si="1"/>
        <v>XIC R1S12:11:O.Data.10 OTE R1S12:11:O.Data.10</v>
      </c>
      <c r="N79" s="28"/>
      <c r="O79" s="18" t="str">
        <f t="shared" si="4"/>
        <v xml:space="preserve">Channel 10 -  
</v>
      </c>
    </row>
    <row r="80" spans="2:15" x14ac:dyDescent="0.25">
      <c r="B80" t="s">
        <v>1785</v>
      </c>
      <c r="C80" s="1">
        <v>11</v>
      </c>
      <c r="D80" s="1">
        <v>11</v>
      </c>
      <c r="E80" t="s">
        <v>6</v>
      </c>
      <c r="K80" t="s">
        <v>1855</v>
      </c>
      <c r="L80" s="29"/>
      <c r="M80" s="18" t="str">
        <f t="shared" si="1"/>
        <v>XIC R1S12:11:O.Data.11 OTE R1S12:11:O.Data.11</v>
      </c>
      <c r="N80" s="28"/>
      <c r="O80" s="18" t="str">
        <f t="shared" si="4"/>
        <v xml:space="preserve">Channel 11 -  
</v>
      </c>
    </row>
    <row r="81" spans="2:15" x14ac:dyDescent="0.25">
      <c r="B81" t="s">
        <v>1785</v>
      </c>
      <c r="C81" s="1">
        <v>11</v>
      </c>
      <c r="D81" s="1">
        <v>12</v>
      </c>
      <c r="E81" t="s">
        <v>6</v>
      </c>
      <c r="K81" t="s">
        <v>1856</v>
      </c>
      <c r="L81" s="29"/>
      <c r="M81" s="18" t="str">
        <f t="shared" si="1"/>
        <v>XIC R1S12:11:O.Data.12 OTE R1S12:11:O.Data.12</v>
      </c>
      <c r="N81" s="28"/>
      <c r="O81" s="18" t="str">
        <f t="shared" si="4"/>
        <v xml:space="preserve">Channel 12 -  
</v>
      </c>
    </row>
    <row r="82" spans="2:15" x14ac:dyDescent="0.25">
      <c r="B82" t="s">
        <v>1785</v>
      </c>
      <c r="C82" s="1">
        <v>11</v>
      </c>
      <c r="D82" s="1">
        <v>13</v>
      </c>
      <c r="E82" t="s">
        <v>6</v>
      </c>
      <c r="K82" t="s">
        <v>1857</v>
      </c>
      <c r="L82" s="29"/>
      <c r="M82" s="18" t="str">
        <f t="shared" si="1"/>
        <v>XIC R1S12:11:O.Data.13 OTE R1S12:11:O.Data.13</v>
      </c>
      <c r="N82" s="28"/>
      <c r="O82" s="18" t="str">
        <f t="shared" si="4"/>
        <v xml:space="preserve">Channel 13 -  
</v>
      </c>
    </row>
    <row r="83" spans="2:15" x14ac:dyDescent="0.25">
      <c r="B83" t="s">
        <v>1785</v>
      </c>
      <c r="C83" s="1">
        <v>11</v>
      </c>
      <c r="D83" s="1">
        <v>14</v>
      </c>
      <c r="E83" t="s">
        <v>6</v>
      </c>
      <c r="K83" t="s">
        <v>1858</v>
      </c>
      <c r="L83" s="29"/>
      <c r="M83" s="18" t="str">
        <f t="shared" si="1"/>
        <v>XIC R1S12:11:O.Data.14 OTE R1S12:11:O.Data.14</v>
      </c>
      <c r="N83" s="28"/>
      <c r="O83" s="18" t="str">
        <f t="shared" si="4"/>
        <v xml:space="preserve">Channel 14 -  
</v>
      </c>
    </row>
    <row r="84" spans="2:15" x14ac:dyDescent="0.25">
      <c r="B84" t="s">
        <v>1785</v>
      </c>
      <c r="C84" s="1">
        <v>11</v>
      </c>
      <c r="D84" s="1">
        <v>15</v>
      </c>
      <c r="E84" t="s">
        <v>6</v>
      </c>
      <c r="K84" t="s">
        <v>1859</v>
      </c>
      <c r="L84" s="29"/>
      <c r="M84" s="18" t="str">
        <f t="shared" si="1"/>
        <v>XIC R1S12:11:O.Data.15 OTE R1S12:11:O.Data.15</v>
      </c>
      <c r="N84" s="28"/>
      <c r="O84" s="18" t="str">
        <f t="shared" si="4"/>
        <v xml:space="preserve">Channel 15 -  
</v>
      </c>
    </row>
    <row r="85" spans="2:15" x14ac:dyDescent="0.25">
      <c r="C85" s="1"/>
      <c r="D85" s="1"/>
      <c r="M85" s="18" t="str">
        <f t="shared" ref="M85:M198" si="5">IF(B85 = "P2P",
          "Real P2P Condition",
IF(B85 = "Dummy P2P",
          IF(E85 = "DI",
                    IF(J85 = "fbDigital",
                              _xlfn.CONCAT("fbDigital ", F85, " ", F85, ".i_Raw"),
                              _xlfn.CONCAT("XIC Always_False OTE ", F85)),
                    IF(E85 = "DO",
                              _xlfn.CONCAT("XIC ", F85, " OTE Communication_Command_"),
                              IF(E85 = "AI",
                                        IF(J85 = "fbAnalog",
                                                  _xlfn.CONCAT("fbAnalog ", F85, " SysClock.o_NewDay 0 0 0.0"),
                                                  _xlfn.CONCAT("MOVE 0.0 ", F85)),
                                        IF(E85 = "AO",
                                                  _xlfn.CONCAT("MOVE ", F85, " Communication_Setpoint"),
                                                  "Set Type")))),
IF(E85 = "DI",
          IF(ISBLANK(F85),
                    _xlfn.CONCAT("XIC ", B85, ":", C85, ":I.Data.", D85, " NOP"),
                    IF(ISNUMBER(SEARCH("fbDigital", J85)),
                              _xlfn.CONCAT("fbDigital ", F85, " ", B85, ":", C85, ":I.Data.", D85),
                              _xlfn.CONCAT("XIC ", B85, ":", C85, ":I.Data.", D85, " OTE ", F85))),
IF(E85 = "DO",
          IF(ISBLANK(F85),
                    _xlfn.CONCAT("XIC ",B85, ":", C85, ":O.Data.", D85, " OTE ", B85, ":", C85, ":O.Data.", D85),
                    _xlfn.CONCAT("XIC ", F85, " OTE ", B85, ":", C85, ":O.Data.", D85)),
IF(E85 = "AI",
          IF(ISBLANK(F85),
                    "NOP",
                    IF(ISNUMBER(SEARCH("fbAnalog", J85)),
                              _xlfn.CONCAT("fbAnalog ", F85, " SysClock.o_NewDay ", B85, ":", C85, ":I.Ch[", D85, "].Fault 0 ", B85, ":", C85, ":I.Ch[", D85, "].Data"),
                              _xlfn.CONCAT("MOVE ", B85, ":", C85, ":I.Ch[", D85, "].Data ", F85))),
IF(E85 = "AO",
          IF(ISBLANK(F85),
                    "NOP",
                    _xlfn.CONCAT("MOVE ", F85, " ", B85, ":", C85, ":O.Ch[", D85, "].Data")),
"Set Rack and Type"))))))</f>
        <v>Set Rack and Type</v>
      </c>
      <c r="N85" s="20"/>
      <c r="O85" s="18"/>
    </row>
    <row r="86" spans="2:15" ht="15" customHeight="1" x14ac:dyDescent="0.25">
      <c r="B86" t="s">
        <v>1785</v>
      </c>
      <c r="C86" s="1">
        <v>1</v>
      </c>
      <c r="D86" s="1">
        <v>0</v>
      </c>
      <c r="E86" t="s">
        <v>7</v>
      </c>
      <c r="F86" t="s">
        <v>981</v>
      </c>
      <c r="G86" t="s">
        <v>624</v>
      </c>
      <c r="H86" t="s">
        <v>630</v>
      </c>
      <c r="J86" t="s">
        <v>66</v>
      </c>
      <c r="K86" t="s">
        <v>1860</v>
      </c>
      <c r="L86" s="29" t="s">
        <v>1747</v>
      </c>
      <c r="M86" s="18" t="str">
        <f t="shared" si="5"/>
        <v>MOVE R1S12:1:I.Ch[0].Data PL2_4227_235_PMP_0111_SI</v>
      </c>
      <c r="N86" s="28" t="str">
        <f>_xlfn.CONCAT("*************************************************************", CHAR(10), "Rack ", IF(ISNUMBER(B86), B86, 1), " Slot ", C86, " - ",
IF(E86="DI", "Digital Inputs", IF(E86="DO", "Digital Outputs", IF(E86="AI", "Analog Inputs", IF(E86="AO", "Analog Outputs", "Unknown")))), CHAR(10), "*************************************************************", CHAR(10),
O86:O93)</f>
        <v xml:space="preserve">*************************************************************
Rack 1 Slot 1 - Analog Inputs
*************************************************************
Channel 0 - PL2_4227_235_PMP_0111_SI - Nitrate Recycle Pump No. 1 Speed FB  
Channel 1 - PL2_4227_235_PMP_0112_SI - Nitrate Recycle Pump No. 2 Speed FB  
Channel 2 - PL2_4227_463_AIT_0139_TSS - BNR Train No. 1 TSS  
Channel 3 - PL2_4227_450_AIT_0063_PH - BNR Effluent Channel pH  
Channel 4 - PL2_4227_431_AIT_0062_NO3 - BNR Effluent Channel Nitrate  
Channel 5 -  
Channel 6 -  
Channel 7 -  
</v>
      </c>
      <c r="O86" s="18" t="str">
        <f t="shared" ref="O86:O101" si="6">_xlfn.CONCAT("Channel ", D86, " - ", IF(ISBLANK(F86), " ", _xlfn.CONCAT(F86, " - ", IF(ISBLANK(G86), " ", _xlfn.CONCAT(G86, " ", IF(ISBLANK(H86), " ", _xlfn.CONCAT(H86, " ", IF(ISBLANK(I86), " ", I86))))))), CHAR(10))</f>
        <v xml:space="preserve">Channel 0 - PL2_4227_235_PMP_0111_SI - Nitrate Recycle Pump No. 1 Speed FB  
</v>
      </c>
    </row>
    <row r="87" spans="2:15" x14ac:dyDescent="0.25">
      <c r="B87" t="s">
        <v>1785</v>
      </c>
      <c r="C87" s="1">
        <v>1</v>
      </c>
      <c r="D87" s="1">
        <v>1</v>
      </c>
      <c r="E87" t="s">
        <v>7</v>
      </c>
      <c r="F87" t="s">
        <v>982</v>
      </c>
      <c r="G87" t="s">
        <v>627</v>
      </c>
      <c r="H87" t="s">
        <v>630</v>
      </c>
      <c r="J87" t="s">
        <v>66</v>
      </c>
      <c r="K87" t="s">
        <v>1861</v>
      </c>
      <c r="L87" s="29"/>
      <c r="M87" s="18" t="str">
        <f t="shared" si="5"/>
        <v>MOVE R1S12:1:I.Ch[1].Data PL2_4227_235_PMP_0112_SI</v>
      </c>
      <c r="N87" s="28"/>
      <c r="O87" s="18" t="str">
        <f t="shared" si="6"/>
        <v xml:space="preserve">Channel 1 - PL2_4227_235_PMP_0112_SI - Nitrate Recycle Pump No. 2 Speed FB  
</v>
      </c>
    </row>
    <row r="88" spans="2:15" x14ac:dyDescent="0.25">
      <c r="B88" t="s">
        <v>1785</v>
      </c>
      <c r="C88" s="1">
        <v>1</v>
      </c>
      <c r="D88" s="1">
        <v>2</v>
      </c>
      <c r="E88" t="s">
        <v>7</v>
      </c>
      <c r="F88" t="s">
        <v>1004</v>
      </c>
      <c r="G88" t="s">
        <v>715</v>
      </c>
      <c r="J88" t="s">
        <v>631</v>
      </c>
      <c r="K88" t="s">
        <v>1862</v>
      </c>
      <c r="L88" s="29"/>
      <c r="M88" s="18" t="str">
        <f t="shared" si="5"/>
        <v>fbAnalog PL2_4227_463_AIT_0139_TSS SysClock.o_NewDay R1S12:1:I.Ch[2].Fault 0 R1S12:1:I.Ch[2].Data</v>
      </c>
      <c r="N88" s="28"/>
      <c r="O88" s="18" t="str">
        <f t="shared" si="6"/>
        <v xml:space="preserve">Channel 2 - PL2_4227_463_AIT_0139_TSS - BNR Train No. 1 TSS  
</v>
      </c>
    </row>
    <row r="89" spans="2:15" x14ac:dyDescent="0.25">
      <c r="B89" t="s">
        <v>1785</v>
      </c>
      <c r="C89" s="1">
        <v>1</v>
      </c>
      <c r="D89" s="1">
        <v>3</v>
      </c>
      <c r="E89" t="s">
        <v>7</v>
      </c>
      <c r="F89" t="s">
        <v>1011</v>
      </c>
      <c r="G89" t="s">
        <v>1012</v>
      </c>
      <c r="H89" t="s">
        <v>1014</v>
      </c>
      <c r="J89" t="s">
        <v>631</v>
      </c>
      <c r="K89" t="s">
        <v>1863</v>
      </c>
      <c r="L89" s="29"/>
      <c r="M89" s="18" t="str">
        <f t="shared" si="5"/>
        <v>fbAnalog PL2_4227_450_AIT_0063_PH SysClock.o_NewDay R1S12:1:I.Ch[3].Fault 0 R1S12:1:I.Ch[3].Data</v>
      </c>
      <c r="N89" s="28"/>
      <c r="O89" s="18" t="str">
        <f t="shared" si="6"/>
        <v xml:space="preserve">Channel 3 - PL2_4227_450_AIT_0063_PH - BNR Effluent Channel pH  
</v>
      </c>
    </row>
    <row r="90" spans="2:15" x14ac:dyDescent="0.25">
      <c r="B90" t="s">
        <v>1785</v>
      </c>
      <c r="C90" s="1">
        <v>1</v>
      </c>
      <c r="D90" s="1">
        <v>4</v>
      </c>
      <c r="E90" t="s">
        <v>7</v>
      </c>
      <c r="F90" t="s">
        <v>1010</v>
      </c>
      <c r="G90" t="s">
        <v>1012</v>
      </c>
      <c r="H90" t="s">
        <v>1013</v>
      </c>
      <c r="J90" t="s">
        <v>631</v>
      </c>
      <c r="K90" t="s">
        <v>1864</v>
      </c>
      <c r="L90" s="29"/>
      <c r="M90" s="18" t="str">
        <f t="shared" si="5"/>
        <v>fbAnalog PL2_4227_431_AIT_0062_NO3 SysClock.o_NewDay R1S12:1:I.Ch[4].Fault 0 R1S12:1:I.Ch[4].Data</v>
      </c>
      <c r="N90" s="28"/>
      <c r="O90" s="18" t="str">
        <f t="shared" si="6"/>
        <v xml:space="preserve">Channel 4 - PL2_4227_431_AIT_0062_NO3 - BNR Effluent Channel Nitrate  
</v>
      </c>
    </row>
    <row r="91" spans="2:15" x14ac:dyDescent="0.25">
      <c r="B91" t="s">
        <v>1785</v>
      </c>
      <c r="C91" s="1">
        <v>1</v>
      </c>
      <c r="D91" s="1">
        <v>5</v>
      </c>
      <c r="E91" t="s">
        <v>7</v>
      </c>
      <c r="K91" t="s">
        <v>64</v>
      </c>
      <c r="L91" s="29"/>
      <c r="M91" s="18" t="str">
        <f t="shared" si="5"/>
        <v>NOP</v>
      </c>
      <c r="N91" s="28"/>
      <c r="O91" s="18" t="str">
        <f t="shared" si="6"/>
        <v xml:space="preserve">Channel 5 -  
</v>
      </c>
    </row>
    <row r="92" spans="2:15" x14ac:dyDescent="0.25">
      <c r="B92" t="s">
        <v>1785</v>
      </c>
      <c r="C92" s="1">
        <v>1</v>
      </c>
      <c r="D92" s="1">
        <v>6</v>
      </c>
      <c r="E92" t="s">
        <v>7</v>
      </c>
      <c r="K92" t="s">
        <v>64</v>
      </c>
      <c r="L92" s="29"/>
      <c r="M92" s="18" t="str">
        <f t="shared" si="5"/>
        <v>NOP</v>
      </c>
      <c r="N92" s="28"/>
      <c r="O92" s="18" t="str">
        <f t="shared" si="6"/>
        <v xml:space="preserve">Channel 6 -  
</v>
      </c>
    </row>
    <row r="93" spans="2:15" x14ac:dyDescent="0.25">
      <c r="B93" t="s">
        <v>1785</v>
      </c>
      <c r="C93" s="1">
        <v>1</v>
      </c>
      <c r="D93" s="1">
        <v>7</v>
      </c>
      <c r="E93" t="s">
        <v>7</v>
      </c>
      <c r="K93" t="s">
        <v>64</v>
      </c>
      <c r="L93" s="29"/>
      <c r="M93" s="18" t="str">
        <f t="shared" si="5"/>
        <v>NOP</v>
      </c>
      <c r="N93" s="28"/>
      <c r="O93" s="18" t="str">
        <f t="shared" si="6"/>
        <v xml:space="preserve">Channel 7 -  
</v>
      </c>
    </row>
    <row r="94" spans="2:15" ht="15" customHeight="1" x14ac:dyDescent="0.25">
      <c r="B94" t="s">
        <v>1785</v>
      </c>
      <c r="C94" s="1">
        <v>2</v>
      </c>
      <c r="D94" s="1">
        <v>0</v>
      </c>
      <c r="E94" t="s">
        <v>7</v>
      </c>
      <c r="F94" t="s">
        <v>983</v>
      </c>
      <c r="G94" t="s">
        <v>625</v>
      </c>
      <c r="H94" t="s">
        <v>630</v>
      </c>
      <c r="J94" t="s">
        <v>66</v>
      </c>
      <c r="K94" t="s">
        <v>1865</v>
      </c>
      <c r="L94" s="29" t="s">
        <v>1782</v>
      </c>
      <c r="M94" s="18" t="str">
        <f t="shared" si="5"/>
        <v>MOVE R1S12:2:I.Ch[0].Data PL2_4227_235_PMP_0211_SI</v>
      </c>
      <c r="N94" s="28" t="str">
        <f>_xlfn.CONCAT("*************************************************************", CHAR(10), "Rack ", IF(ISNUMBER(B94), B94, 1), " Slot ", C94, " - ",
IF(E94="DI", "Digital Inputs", IF(E94="DO", "Digital Outputs", IF(E94="AI", "Analog Inputs", IF(E94="AO", "Analog Outputs", "Unknown")))), CHAR(10), "*************************************************************", CHAR(10),
O94:O101)</f>
        <v xml:space="preserve">*************************************************************
Rack 1 Slot 2 - Analog Inputs
*************************************************************
Channel 0 - PL2_4227_235_PMP_0211_SI - Nitrate Recycle Pump No. 3 Speed FB  
Channel 1 - PL2_4227_235_PMP_0212_SI - Nitrate Recycle Pump No. 4 Speed FB  
Channel 2 - PL2_4227_463_AIT_0149_TSS - BNR Train No. 2 TSS  
Channel 3 - PL2_4228_XXX_TT_0802 - PLC-BNR Cabinet Temperature  
Channel 4 - PL2_4228_461_TT_0201 - BNR Blower Electrical Room Temperature  
Channel 5 -  
Channel 6 -  
Channel 7 -  
</v>
      </c>
      <c r="O94" s="18" t="str">
        <f t="shared" si="6"/>
        <v xml:space="preserve">Channel 0 - PL2_4227_235_PMP_0211_SI - Nitrate Recycle Pump No. 3 Speed FB  
</v>
      </c>
    </row>
    <row r="95" spans="2:15" x14ac:dyDescent="0.25">
      <c r="B95" t="s">
        <v>1785</v>
      </c>
      <c r="C95" s="1">
        <v>2</v>
      </c>
      <c r="D95" s="1">
        <v>1</v>
      </c>
      <c r="E95" t="s">
        <v>7</v>
      </c>
      <c r="F95" t="s">
        <v>984</v>
      </c>
      <c r="G95" t="s">
        <v>626</v>
      </c>
      <c r="H95" t="s">
        <v>630</v>
      </c>
      <c r="J95" t="s">
        <v>66</v>
      </c>
      <c r="K95" t="s">
        <v>1866</v>
      </c>
      <c r="L95" s="29"/>
      <c r="M95" s="18" t="str">
        <f t="shared" si="5"/>
        <v>MOVE R1S12:2:I.Ch[1].Data PL2_4227_235_PMP_0212_SI</v>
      </c>
      <c r="N95" s="28"/>
      <c r="O95" s="18" t="str">
        <f t="shared" si="6"/>
        <v xml:space="preserve">Channel 1 - PL2_4227_235_PMP_0212_SI - Nitrate Recycle Pump No. 4 Speed FB  
</v>
      </c>
    </row>
    <row r="96" spans="2:15" x14ac:dyDescent="0.25">
      <c r="B96" t="s">
        <v>1785</v>
      </c>
      <c r="C96" s="1">
        <v>2</v>
      </c>
      <c r="D96" s="1">
        <v>2</v>
      </c>
      <c r="E96" t="s">
        <v>7</v>
      </c>
      <c r="F96" t="s">
        <v>1005</v>
      </c>
      <c r="G96" t="s">
        <v>718</v>
      </c>
      <c r="J96" t="s">
        <v>631</v>
      </c>
      <c r="K96" t="s">
        <v>1867</v>
      </c>
      <c r="L96" s="29"/>
      <c r="M96" s="18" t="str">
        <f t="shared" si="5"/>
        <v>fbAnalog PL2_4227_463_AIT_0149_TSS SysClock.o_NewDay R1S12:2:I.Ch[2].Fault 0 R1S12:2:I.Ch[2].Data</v>
      </c>
      <c r="N96" s="28"/>
      <c r="O96" s="18" t="str">
        <f t="shared" si="6"/>
        <v xml:space="preserve">Channel 2 - PL2_4227_463_AIT_0149_TSS - BNR Train No. 2 TSS  
</v>
      </c>
    </row>
    <row r="97" spans="2:15" x14ac:dyDescent="0.25">
      <c r="B97" t="s">
        <v>1785</v>
      </c>
      <c r="C97" s="1">
        <v>2</v>
      </c>
      <c r="D97" s="1">
        <v>3</v>
      </c>
      <c r="E97" t="s">
        <v>7</v>
      </c>
      <c r="F97" t="s">
        <v>1752</v>
      </c>
      <c r="G97" t="s">
        <v>1000</v>
      </c>
      <c r="H97" t="s">
        <v>1006</v>
      </c>
      <c r="J97" t="s">
        <v>631</v>
      </c>
      <c r="K97" t="s">
        <v>1868</v>
      </c>
      <c r="L97" s="29"/>
      <c r="M97" s="18" t="str">
        <f t="shared" si="5"/>
        <v>fbAnalog PL2_4228_XXX_TT_0802 SysClock.o_NewDay R1S12:2:I.Ch[3].Fault 0 R1S12:2:I.Ch[3].Data</v>
      </c>
      <c r="N97" s="28"/>
      <c r="O97" s="18" t="str">
        <f t="shared" si="6"/>
        <v xml:space="preserve">Channel 3 - PL2_4228_XXX_TT_0802 - PLC-BNR Cabinet Temperature  
</v>
      </c>
    </row>
    <row r="98" spans="2:15" x14ac:dyDescent="0.25">
      <c r="B98" t="s">
        <v>1785</v>
      </c>
      <c r="C98" s="1">
        <v>2</v>
      </c>
      <c r="D98" s="1">
        <v>4</v>
      </c>
      <c r="E98" t="s">
        <v>7</v>
      </c>
      <c r="F98" t="s">
        <v>1007</v>
      </c>
      <c r="G98" t="s">
        <v>1008</v>
      </c>
      <c r="H98" t="s">
        <v>117</v>
      </c>
      <c r="J98" t="s">
        <v>631</v>
      </c>
      <c r="K98" t="s">
        <v>1869</v>
      </c>
      <c r="L98" s="29"/>
      <c r="M98" s="18" t="str">
        <f t="shared" si="5"/>
        <v>fbAnalog PL2_4228_461_TT_0201 SysClock.o_NewDay R1S12:2:I.Ch[4].Fault 0 R1S12:2:I.Ch[4].Data</v>
      </c>
      <c r="N98" s="28"/>
      <c r="O98" s="18" t="str">
        <f t="shared" si="6"/>
        <v xml:space="preserve">Channel 4 - PL2_4228_461_TT_0201 - BNR Blower Electrical Room Temperature  
</v>
      </c>
    </row>
    <row r="99" spans="2:15" x14ac:dyDescent="0.25">
      <c r="B99" t="s">
        <v>1785</v>
      </c>
      <c r="C99" s="1">
        <v>2</v>
      </c>
      <c r="D99" s="1">
        <v>5</v>
      </c>
      <c r="E99" t="s">
        <v>7</v>
      </c>
      <c r="K99" t="s">
        <v>64</v>
      </c>
      <c r="L99" s="29"/>
      <c r="M99" s="18" t="str">
        <f t="shared" si="5"/>
        <v>NOP</v>
      </c>
      <c r="N99" s="28"/>
      <c r="O99" s="18" t="str">
        <f t="shared" si="6"/>
        <v xml:space="preserve">Channel 5 -  
</v>
      </c>
    </row>
    <row r="100" spans="2:15" x14ac:dyDescent="0.25">
      <c r="B100" t="s">
        <v>1785</v>
      </c>
      <c r="C100" s="1">
        <v>2</v>
      </c>
      <c r="D100" s="1">
        <v>6</v>
      </c>
      <c r="E100" t="s">
        <v>7</v>
      </c>
      <c r="K100" t="s">
        <v>64</v>
      </c>
      <c r="L100" s="29"/>
      <c r="M100" s="18" t="str">
        <f t="shared" si="5"/>
        <v>NOP</v>
      </c>
      <c r="N100" s="28"/>
      <c r="O100" s="18" t="str">
        <f t="shared" si="6"/>
        <v xml:space="preserve">Channel 6 -  
</v>
      </c>
    </row>
    <row r="101" spans="2:15" x14ac:dyDescent="0.25">
      <c r="B101" t="s">
        <v>1785</v>
      </c>
      <c r="C101" s="1">
        <v>2</v>
      </c>
      <c r="D101" s="1">
        <v>7</v>
      </c>
      <c r="E101" t="s">
        <v>7</v>
      </c>
      <c r="K101" t="s">
        <v>64</v>
      </c>
      <c r="L101" s="29"/>
      <c r="M101" s="18" t="str">
        <f t="shared" si="5"/>
        <v>NOP</v>
      </c>
      <c r="N101" s="28"/>
      <c r="O101" s="18" t="str">
        <f t="shared" si="6"/>
        <v xml:space="preserve">Channel 7 -  
</v>
      </c>
    </row>
    <row r="102" spans="2:15" ht="15" customHeight="1" x14ac:dyDescent="0.25">
      <c r="B102" t="s">
        <v>1785</v>
      </c>
      <c r="C102" s="1">
        <v>3</v>
      </c>
      <c r="D102" s="1">
        <v>0</v>
      </c>
      <c r="E102" t="s">
        <v>7</v>
      </c>
      <c r="F102" t="s">
        <v>985</v>
      </c>
      <c r="G102" t="s">
        <v>628</v>
      </c>
      <c r="H102" t="s">
        <v>630</v>
      </c>
      <c r="J102" t="s">
        <v>66</v>
      </c>
      <c r="K102" t="s">
        <v>1870</v>
      </c>
      <c r="L102" s="29" t="s">
        <v>1748</v>
      </c>
      <c r="M102" s="18" t="str">
        <f t="shared" ref="M102:M109" si="7">IF(B102 = "P2P",
          "Real P2P Condition",
IF(B102 = "Dummy P2P",
          IF(E102 = "DI",
                    IF(J102 = "fbDigital",
                              _xlfn.CONCAT("fbDigital ", F102, " ", F102, ".i_Raw"),
                              _xlfn.CONCAT("XIC Always_False OTE ", F102)),
                    IF(E102 = "DO",
                              _xlfn.CONCAT("XIC ", F102, " OTE Communication_Command_"),
                              IF(E102 = "AI",
                                        IF(J102 = "fbAnalog",
                                                  _xlfn.CONCAT("fbAnalog ", F102, " SysClock.o_NewDay 0 0 0.0"),
                                                  _xlfn.CONCAT("MOVE 0.0 ", F102)),
                                        IF(E102 = "AO",
                                                  _xlfn.CONCAT("MOVE ", F102, " Communication_Setpoint"),
                                                  "Set Type")))),
IF(E102 = "DI",
          IF(ISBLANK(F102),
                    _xlfn.CONCAT("XIC ", B102, ":", C102, ":I.Data.", D102, " NOP"),
                    IF(ISNUMBER(SEARCH("fbDigital", J102)),
                              _xlfn.CONCAT("fbDigital ", F102, " ", B102, ":", C102, ":I.Data.", D102),
                              _xlfn.CONCAT("XIC ", B102, ":", C102, ":I.Data.", D102, " OTE ", F102))),
IF(E102 = "DO",
          IF(ISBLANK(F102),
                    _xlfn.CONCAT("XIC ",B102, ":", C102, ":O.Data.", D102, " OTE ", B102, ":", C102, ":O.Data.", D102),
                    _xlfn.CONCAT("XIC ", F102, " OTE ", B102, ":", C102, ":O.Data.", D102)),
IF(E102 = "AI",
          IF(ISBLANK(F102),
                    "NOP",
                    IF(ISNUMBER(SEARCH("fbAnalog", J102)),
                              _xlfn.CONCAT("fbAnalog ", F102, " SysClock.o_NewDay ", B102, ":", C102, ":I.Ch[", D102, "].Fault 0 ", B102, ":", C102, ":I.Ch[", D102, "].Data"),
                              _xlfn.CONCAT("MOVE ", B102, ":", C102, ":I.Ch[", D102, "].Data ", F102))),
IF(E102 = "AO",
          IF(ISBLANK(F102),
                    "NOP",
                    _xlfn.CONCAT("MOVE ", F102, " ", B102, ":", C102, ":O.Ch[", D102, "].Data")),
"Set Rack and Type"))))))</f>
        <v>MOVE R1S12:3:I.Ch[0].Data PL2_4227_235_PMP_0311_SI</v>
      </c>
      <c r="N102" s="28" t="str">
        <f>_xlfn.CONCAT("*************************************************************", CHAR(10), "Rack ", IF(ISNUMBER(B102), B102, 1), " Slot ", C102, " - ",
IF(E102="DI", "Digital Inputs", IF(E102="DO", "Digital Outputs", IF(E102="AI", "Analog Inputs", IF(E102="AO", "Analog Outputs", "Unknown")))), CHAR(10), "*************************************************************", CHAR(10),
O102:O109)</f>
        <v xml:space="preserve">*************************************************************
Rack 1 Slot 3 - Analog Inputs
*************************************************************
Channel 0 - PL2_4227_235_PMP_0311_SI - Nitrate Recycle Pump No. 5 Speed FB  
Channel 1 - PL2_4227_235_PMP_0312_SI - Nitrate Recycle Pump No. 6 Speed FB  
Channel 2 - PL2_4227_463_AIT_0159_TSS - BNR Train No. 3 TSS  
Channel 3 -  
Channel 4 -  
Channel 5 -  
Channel 6 -  
Channel 7 -  
</v>
      </c>
      <c r="O102" s="18" t="str">
        <f t="shared" ref="O102:O109" si="8">_xlfn.CONCAT("Channel ", D102, " - ", IF(ISBLANK(F102), " ", _xlfn.CONCAT(F102, " - ", IF(ISBLANK(G102), " ", _xlfn.CONCAT(G102, " ", IF(ISBLANK(H102), " ", _xlfn.CONCAT(H102, " ", IF(ISBLANK(I102), " ", I102))))))), CHAR(10))</f>
        <v xml:space="preserve">Channel 0 - PL2_4227_235_PMP_0311_SI - Nitrate Recycle Pump No. 5 Speed FB  
</v>
      </c>
    </row>
    <row r="103" spans="2:15" x14ac:dyDescent="0.25">
      <c r="B103" t="s">
        <v>1785</v>
      </c>
      <c r="C103" s="1">
        <v>3</v>
      </c>
      <c r="D103" s="1">
        <v>1</v>
      </c>
      <c r="E103" t="s">
        <v>7</v>
      </c>
      <c r="F103" t="s">
        <v>986</v>
      </c>
      <c r="G103" t="s">
        <v>629</v>
      </c>
      <c r="H103" t="s">
        <v>630</v>
      </c>
      <c r="J103" t="s">
        <v>66</v>
      </c>
      <c r="K103" t="s">
        <v>1871</v>
      </c>
      <c r="L103" s="29"/>
      <c r="M103" s="18" t="str">
        <f t="shared" si="7"/>
        <v>MOVE R1S12:3:I.Ch[1].Data PL2_4227_235_PMP_0312_SI</v>
      </c>
      <c r="N103" s="28"/>
      <c r="O103" s="18" t="str">
        <f t="shared" si="8"/>
        <v xml:space="preserve">Channel 1 - PL2_4227_235_PMP_0312_SI - Nitrate Recycle Pump No. 6 Speed FB  
</v>
      </c>
    </row>
    <row r="104" spans="2:15" x14ac:dyDescent="0.25">
      <c r="B104" t="s">
        <v>1785</v>
      </c>
      <c r="C104" s="1">
        <v>3</v>
      </c>
      <c r="D104" s="1">
        <v>2</v>
      </c>
      <c r="E104" t="s">
        <v>7</v>
      </c>
      <c r="F104" t="s">
        <v>1015</v>
      </c>
      <c r="G104" t="s">
        <v>719</v>
      </c>
      <c r="J104" t="s">
        <v>631</v>
      </c>
      <c r="K104" t="s">
        <v>1872</v>
      </c>
      <c r="L104" s="29"/>
      <c r="M104" s="18" t="str">
        <f t="shared" si="7"/>
        <v>fbAnalog PL2_4227_463_AIT_0159_TSS SysClock.o_NewDay R1S12:3:I.Ch[2].Fault 0 R1S12:3:I.Ch[2].Data</v>
      </c>
      <c r="N104" s="28"/>
      <c r="O104" s="18" t="str">
        <f t="shared" si="8"/>
        <v xml:space="preserve">Channel 2 - PL2_4227_463_AIT_0159_TSS - BNR Train No. 3 TSS  
</v>
      </c>
    </row>
    <row r="105" spans="2:15" x14ac:dyDescent="0.25">
      <c r="B105" t="s">
        <v>1785</v>
      </c>
      <c r="C105" s="1">
        <v>3</v>
      </c>
      <c r="D105" s="1">
        <v>3</v>
      </c>
      <c r="E105" t="s">
        <v>7</v>
      </c>
      <c r="K105" t="s">
        <v>64</v>
      </c>
      <c r="L105" s="29"/>
      <c r="M105" s="18" t="str">
        <f t="shared" si="7"/>
        <v>NOP</v>
      </c>
      <c r="N105" s="28"/>
      <c r="O105" s="18" t="str">
        <f t="shared" si="8"/>
        <v xml:space="preserve">Channel 3 -  
</v>
      </c>
    </row>
    <row r="106" spans="2:15" x14ac:dyDescent="0.25">
      <c r="B106" t="s">
        <v>1785</v>
      </c>
      <c r="C106" s="1">
        <v>3</v>
      </c>
      <c r="D106" s="1">
        <v>4</v>
      </c>
      <c r="E106" t="s">
        <v>7</v>
      </c>
      <c r="K106" t="s">
        <v>64</v>
      </c>
      <c r="L106" s="29"/>
      <c r="M106" s="18" t="str">
        <f t="shared" si="7"/>
        <v>NOP</v>
      </c>
      <c r="N106" s="28"/>
      <c r="O106" s="18" t="str">
        <f t="shared" si="8"/>
        <v xml:space="preserve">Channel 4 -  
</v>
      </c>
    </row>
    <row r="107" spans="2:15" x14ac:dyDescent="0.25">
      <c r="B107" t="s">
        <v>1785</v>
      </c>
      <c r="C107" s="1">
        <v>3</v>
      </c>
      <c r="D107" s="1">
        <v>5</v>
      </c>
      <c r="E107" t="s">
        <v>7</v>
      </c>
      <c r="K107" t="s">
        <v>64</v>
      </c>
      <c r="L107" s="29"/>
      <c r="M107" s="18" t="str">
        <f t="shared" si="7"/>
        <v>NOP</v>
      </c>
      <c r="N107" s="28"/>
      <c r="O107" s="18" t="str">
        <f t="shared" si="8"/>
        <v xml:space="preserve">Channel 5 -  
</v>
      </c>
    </row>
    <row r="108" spans="2:15" x14ac:dyDescent="0.25">
      <c r="B108" t="s">
        <v>1785</v>
      </c>
      <c r="C108" s="1">
        <v>3</v>
      </c>
      <c r="D108" s="1">
        <v>6</v>
      </c>
      <c r="E108" t="s">
        <v>7</v>
      </c>
      <c r="K108" t="s">
        <v>64</v>
      </c>
      <c r="L108" s="29"/>
      <c r="M108" s="18" t="str">
        <f t="shared" si="7"/>
        <v>NOP</v>
      </c>
      <c r="N108" s="28"/>
      <c r="O108" s="18" t="str">
        <f t="shared" si="8"/>
        <v xml:space="preserve">Channel 6 -  
</v>
      </c>
    </row>
    <row r="109" spans="2:15" x14ac:dyDescent="0.25">
      <c r="B109" t="s">
        <v>1785</v>
      </c>
      <c r="C109" s="1">
        <v>3</v>
      </c>
      <c r="D109" s="1">
        <v>7</v>
      </c>
      <c r="E109" t="s">
        <v>7</v>
      </c>
      <c r="K109" t="s">
        <v>64</v>
      </c>
      <c r="L109" s="29"/>
      <c r="M109" s="18" t="str">
        <f t="shared" si="7"/>
        <v>NOP</v>
      </c>
      <c r="N109" s="28"/>
      <c r="O109" s="18" t="str">
        <f t="shared" si="8"/>
        <v xml:space="preserve">Channel 7 -  
</v>
      </c>
    </row>
    <row r="110" spans="2:15" x14ac:dyDescent="0.25">
      <c r="C110" s="1"/>
      <c r="D110" s="1"/>
      <c r="M110" s="18" t="str">
        <f t="shared" si="5"/>
        <v>Set Rack and Type</v>
      </c>
      <c r="N110" s="20"/>
      <c r="O110" s="18"/>
    </row>
    <row r="111" spans="2:15" ht="15" customHeight="1" x14ac:dyDescent="0.25">
      <c r="B111" t="s">
        <v>1785</v>
      </c>
      <c r="C111" s="1">
        <v>5</v>
      </c>
      <c r="D111" s="1">
        <v>0</v>
      </c>
      <c r="E111" t="s">
        <v>8</v>
      </c>
      <c r="F111" t="s">
        <v>987</v>
      </c>
      <c r="G111" t="s">
        <v>624</v>
      </c>
      <c r="H111" t="s">
        <v>21</v>
      </c>
      <c r="J111" t="s">
        <v>66</v>
      </c>
      <c r="K111" t="s">
        <v>1873</v>
      </c>
      <c r="L111" s="29" t="s">
        <v>1783</v>
      </c>
      <c r="M111" s="18" t="str">
        <f t="shared" si="5"/>
        <v>MOVE PL2_4227_235_PMP_0111_SC R1S12:5:O.Ch[0].Data</v>
      </c>
      <c r="N111" s="28" t="str">
        <f>_xlfn.CONCAT("*************************************************************", CHAR(10), "Rack ", IF(ISNUMBER(B111), B111, 1), " Slot ", C111, " - ",
IF(E111="DI", "Digital Inputs", IF(E111="DO", "Digital Outputs", IF(E111="AI", "Analog Inputs", IF(E111="AO", "Analog Outputs", "Unknown")))), CHAR(10), "*************************************************************", CHAR(10),
O111:O118)</f>
        <v xml:space="preserve">*************************************************************
Rack 1 Slot 5 - Analog Outputs
*************************************************************
Channel 0 - PL2_4227_235_PMP_0111_SC - Nitrate Recycle Pump No. 1 Speed Command  
Channel 1 - PL2_4227_235_PMP_0112_SC - Nitrate Recycle Pump No. 2 Speed Command  
Channel 2 - PL2_4227_235_PMP_0211_SC - Nitrate Recycle Pump No. 3 Speed Command  
Channel 3 - PL2_4227_235_PMP_0212_SC - Nitrate Recycle Pump No. 4 Speed Command  
Channel 4 - PL2_4227_235_PMP_0311_SC - Nitrate Recycle Pump No. 5 Speed Command  
Channel 5 - PL2_4227_235_PMP_0312_SC - Nitrate Recycle Pump No. 6 Speed Command  
Channel 6 -  
Channel 7 -  
</v>
      </c>
      <c r="O111" s="18" t="str">
        <f t="shared" ref="O111:O118" si="9">_xlfn.CONCAT("Channel ", D111, " - ", IF(ISBLANK(F111), " ", _xlfn.CONCAT(F111, " - ", IF(ISBLANK(G111), " ", _xlfn.CONCAT(G111, " ", IF(ISBLANK(H111), " ", _xlfn.CONCAT(H111, " ", IF(ISBLANK(I111), " ", I111))))))), CHAR(10))</f>
        <v xml:space="preserve">Channel 0 - PL2_4227_235_PMP_0111_SC - Nitrate Recycle Pump No. 1 Speed Command  
</v>
      </c>
    </row>
    <row r="112" spans="2:15" x14ac:dyDescent="0.25">
      <c r="B112" t="s">
        <v>1785</v>
      </c>
      <c r="C112" s="1">
        <v>5</v>
      </c>
      <c r="D112" s="1">
        <v>1</v>
      </c>
      <c r="E112" t="s">
        <v>8</v>
      </c>
      <c r="F112" t="s">
        <v>988</v>
      </c>
      <c r="G112" t="s">
        <v>627</v>
      </c>
      <c r="H112" t="s">
        <v>21</v>
      </c>
      <c r="J112" t="s">
        <v>66</v>
      </c>
      <c r="K112" t="s">
        <v>1874</v>
      </c>
      <c r="L112" s="29"/>
      <c r="M112" s="18" t="str">
        <f t="shared" si="5"/>
        <v>MOVE PL2_4227_235_PMP_0112_SC R1S12:5:O.Ch[1].Data</v>
      </c>
      <c r="N112" s="28"/>
      <c r="O112" s="18" t="str">
        <f t="shared" si="9"/>
        <v xml:space="preserve">Channel 1 - PL2_4227_235_PMP_0112_SC - Nitrate Recycle Pump No. 2 Speed Command  
</v>
      </c>
    </row>
    <row r="113" spans="2:15" x14ac:dyDescent="0.25">
      <c r="B113" t="s">
        <v>1785</v>
      </c>
      <c r="C113" s="1">
        <v>5</v>
      </c>
      <c r="D113" s="1">
        <v>2</v>
      </c>
      <c r="E113" t="s">
        <v>8</v>
      </c>
      <c r="F113" t="s">
        <v>989</v>
      </c>
      <c r="G113" t="s">
        <v>625</v>
      </c>
      <c r="H113" t="s">
        <v>21</v>
      </c>
      <c r="J113" t="s">
        <v>66</v>
      </c>
      <c r="K113" t="s">
        <v>1875</v>
      </c>
      <c r="L113" s="29"/>
      <c r="M113" s="18" t="str">
        <f t="shared" si="5"/>
        <v>MOVE PL2_4227_235_PMP_0211_SC R1S12:5:O.Ch[2].Data</v>
      </c>
      <c r="N113" s="28"/>
      <c r="O113" s="18" t="str">
        <f t="shared" si="9"/>
        <v xml:space="preserve">Channel 2 - PL2_4227_235_PMP_0211_SC - Nitrate Recycle Pump No. 3 Speed Command  
</v>
      </c>
    </row>
    <row r="114" spans="2:15" x14ac:dyDescent="0.25">
      <c r="B114" t="s">
        <v>1785</v>
      </c>
      <c r="C114" s="1">
        <v>5</v>
      </c>
      <c r="D114" s="1">
        <v>3</v>
      </c>
      <c r="E114" t="s">
        <v>8</v>
      </c>
      <c r="F114" t="s">
        <v>990</v>
      </c>
      <c r="G114" t="s">
        <v>626</v>
      </c>
      <c r="H114" t="s">
        <v>21</v>
      </c>
      <c r="J114" t="s">
        <v>66</v>
      </c>
      <c r="K114" t="s">
        <v>1876</v>
      </c>
      <c r="L114" s="29"/>
      <c r="M114" s="18" t="str">
        <f t="shared" si="5"/>
        <v>MOVE PL2_4227_235_PMP_0212_SC R1S12:5:O.Ch[3].Data</v>
      </c>
      <c r="N114" s="28"/>
      <c r="O114" s="18" t="str">
        <f t="shared" si="9"/>
        <v xml:space="preserve">Channel 3 - PL2_4227_235_PMP_0212_SC - Nitrate Recycle Pump No. 4 Speed Command  
</v>
      </c>
    </row>
    <row r="115" spans="2:15" x14ac:dyDescent="0.25">
      <c r="B115" t="s">
        <v>1785</v>
      </c>
      <c r="C115" s="1">
        <v>5</v>
      </c>
      <c r="D115" s="1">
        <v>4</v>
      </c>
      <c r="E115" t="s">
        <v>8</v>
      </c>
      <c r="F115" t="s">
        <v>991</v>
      </c>
      <c r="G115" t="s">
        <v>628</v>
      </c>
      <c r="H115" t="s">
        <v>21</v>
      </c>
      <c r="J115" t="s">
        <v>66</v>
      </c>
      <c r="K115" t="s">
        <v>1877</v>
      </c>
      <c r="L115" s="29"/>
      <c r="M115" s="18" t="str">
        <f t="shared" si="5"/>
        <v>MOVE PL2_4227_235_PMP_0311_SC R1S12:5:O.Ch[4].Data</v>
      </c>
      <c r="N115" s="28"/>
      <c r="O115" s="18" t="str">
        <f t="shared" si="9"/>
        <v xml:space="preserve">Channel 4 - PL2_4227_235_PMP_0311_SC - Nitrate Recycle Pump No. 5 Speed Command  
</v>
      </c>
    </row>
    <row r="116" spans="2:15" x14ac:dyDescent="0.25">
      <c r="B116" t="s">
        <v>1785</v>
      </c>
      <c r="C116" s="1">
        <v>5</v>
      </c>
      <c r="D116" s="1">
        <v>5</v>
      </c>
      <c r="E116" t="s">
        <v>8</v>
      </c>
      <c r="F116" t="s">
        <v>992</v>
      </c>
      <c r="G116" t="s">
        <v>629</v>
      </c>
      <c r="H116" t="s">
        <v>21</v>
      </c>
      <c r="J116" t="s">
        <v>66</v>
      </c>
      <c r="K116" t="s">
        <v>1878</v>
      </c>
      <c r="L116" s="29"/>
      <c r="M116" s="18" t="str">
        <f t="shared" si="5"/>
        <v>MOVE PL2_4227_235_PMP_0312_SC R1S12:5:O.Ch[5].Data</v>
      </c>
      <c r="N116" s="28"/>
      <c r="O116" s="18" t="str">
        <f t="shared" si="9"/>
        <v xml:space="preserve">Channel 5 - PL2_4227_235_PMP_0312_SC - Nitrate Recycle Pump No. 6 Speed Command  
</v>
      </c>
    </row>
    <row r="117" spans="2:15" x14ac:dyDescent="0.25">
      <c r="B117" t="s">
        <v>1785</v>
      </c>
      <c r="C117" s="1">
        <v>5</v>
      </c>
      <c r="D117" s="1">
        <v>6</v>
      </c>
      <c r="E117" t="s">
        <v>8</v>
      </c>
      <c r="K117" t="s">
        <v>64</v>
      </c>
      <c r="L117" s="29"/>
      <c r="M117" s="18" t="str">
        <f t="shared" si="5"/>
        <v>NOP</v>
      </c>
      <c r="N117" s="28"/>
      <c r="O117" s="18" t="str">
        <f t="shared" si="9"/>
        <v xml:space="preserve">Channel 6 -  
</v>
      </c>
    </row>
    <row r="118" spans="2:15" x14ac:dyDescent="0.25">
      <c r="B118" t="s">
        <v>1785</v>
      </c>
      <c r="C118" s="1">
        <v>5</v>
      </c>
      <c r="D118" s="1">
        <v>7</v>
      </c>
      <c r="E118" t="s">
        <v>8</v>
      </c>
      <c r="K118" t="s">
        <v>64</v>
      </c>
      <c r="L118" s="29"/>
      <c r="M118" s="18" t="str">
        <f t="shared" si="5"/>
        <v>NOP</v>
      </c>
      <c r="N118" s="28"/>
      <c r="O118" s="18" t="str">
        <f t="shared" si="9"/>
        <v xml:space="preserve">Channel 7 -  
</v>
      </c>
    </row>
    <row r="119" spans="2:15" x14ac:dyDescent="0.25">
      <c r="M119" s="18"/>
    </row>
    <row r="120" spans="2:15" x14ac:dyDescent="0.25">
      <c r="M120" s="18"/>
    </row>
    <row r="121" spans="2:15" x14ac:dyDescent="0.25">
      <c r="M121" s="18"/>
    </row>
    <row r="122" spans="2:15" x14ac:dyDescent="0.25">
      <c r="M122" s="18"/>
    </row>
    <row r="123" spans="2:15" x14ac:dyDescent="0.25">
      <c r="B123" t="s">
        <v>1036</v>
      </c>
      <c r="E123" t="s">
        <v>5</v>
      </c>
      <c r="F123" t="s">
        <v>1019</v>
      </c>
      <c r="G123" t="s">
        <v>777</v>
      </c>
      <c r="H123" t="s">
        <v>633</v>
      </c>
      <c r="J123" t="s">
        <v>44</v>
      </c>
      <c r="K123" t="s">
        <v>1894</v>
      </c>
      <c r="M123" s="18" t="str">
        <f t="shared" si="5"/>
        <v>XIC Always_False OTE PL2_4228_321_BLR_0213_YCI</v>
      </c>
    </row>
    <row r="124" spans="2:15" x14ac:dyDescent="0.25">
      <c r="B124" t="s">
        <v>1036</v>
      </c>
      <c r="E124" t="s">
        <v>5</v>
      </c>
      <c r="F124" t="s">
        <v>1020</v>
      </c>
      <c r="G124" t="s">
        <v>777</v>
      </c>
      <c r="H124" t="s">
        <v>18</v>
      </c>
      <c r="J124" t="s">
        <v>44</v>
      </c>
      <c r="K124" t="s">
        <v>1895</v>
      </c>
      <c r="M124" s="18" t="str">
        <f t="shared" si="5"/>
        <v>XIC Always_False OTE PL2_4228_321_BLR_0213_YRI</v>
      </c>
    </row>
    <row r="125" spans="2:15" x14ac:dyDescent="0.25">
      <c r="B125" t="s">
        <v>1036</v>
      </c>
      <c r="E125" t="s">
        <v>5</v>
      </c>
      <c r="F125" t="s">
        <v>1021</v>
      </c>
      <c r="G125" t="s">
        <v>778</v>
      </c>
      <c r="H125" t="s">
        <v>633</v>
      </c>
      <c r="J125" t="s">
        <v>44</v>
      </c>
      <c r="K125" t="s">
        <v>1896</v>
      </c>
      <c r="M125" s="18" t="str">
        <f t="shared" si="5"/>
        <v>XIC Always_False OTE PL2_4228_321_BLR_0223_YCI</v>
      </c>
    </row>
    <row r="126" spans="2:15" x14ac:dyDescent="0.25">
      <c r="B126" t="s">
        <v>1036</v>
      </c>
      <c r="E126" t="s">
        <v>5</v>
      </c>
      <c r="F126" t="s">
        <v>1022</v>
      </c>
      <c r="G126" t="s">
        <v>778</v>
      </c>
      <c r="H126" t="s">
        <v>18</v>
      </c>
      <c r="J126" t="s">
        <v>44</v>
      </c>
      <c r="K126" t="s">
        <v>1897</v>
      </c>
      <c r="M126" s="18" t="str">
        <f t="shared" si="5"/>
        <v>XIC Always_False OTE PL2_4228_321_BLR_0223_YRI</v>
      </c>
    </row>
    <row r="127" spans="2:15" x14ac:dyDescent="0.25">
      <c r="B127" t="s">
        <v>1036</v>
      </c>
      <c r="E127" t="s">
        <v>6</v>
      </c>
      <c r="F127" t="s">
        <v>1377</v>
      </c>
      <c r="G127" t="s">
        <v>1081</v>
      </c>
      <c r="H127" t="s">
        <v>1035</v>
      </c>
      <c r="J127" t="s">
        <v>44</v>
      </c>
      <c r="K127" t="s">
        <v>1898</v>
      </c>
      <c r="M127" s="18" t="str">
        <f t="shared" si="5"/>
        <v>XIC PL2_4228_321_BLR_0220_HSS OTE Communication_Command_</v>
      </c>
    </row>
    <row r="128" spans="2:15" x14ac:dyDescent="0.25">
      <c r="B128" t="s">
        <v>1036</v>
      </c>
      <c r="E128" t="s">
        <v>5</v>
      </c>
      <c r="F128" t="s">
        <v>1023</v>
      </c>
      <c r="G128" t="s">
        <v>780</v>
      </c>
      <c r="H128" t="s">
        <v>633</v>
      </c>
      <c r="J128" t="s">
        <v>44</v>
      </c>
      <c r="K128" t="s">
        <v>1899</v>
      </c>
      <c r="M128" s="18" t="str">
        <f t="shared" si="5"/>
        <v>XIC Always_False OTE PL2_4228_321_BLR_0233_YCI</v>
      </c>
    </row>
    <row r="129" spans="2:13" x14ac:dyDescent="0.25">
      <c r="B129" t="s">
        <v>1036</v>
      </c>
      <c r="E129" t="s">
        <v>5</v>
      </c>
      <c r="F129" t="s">
        <v>1024</v>
      </c>
      <c r="G129" t="s">
        <v>780</v>
      </c>
      <c r="H129" t="s">
        <v>18</v>
      </c>
      <c r="J129" t="s">
        <v>44</v>
      </c>
      <c r="K129" t="s">
        <v>1900</v>
      </c>
      <c r="M129" s="18" t="str">
        <f t="shared" si="5"/>
        <v>XIC Always_False OTE PL2_4228_321_BLR_0233_YRI</v>
      </c>
    </row>
    <row r="130" spans="2:13" x14ac:dyDescent="0.25">
      <c r="B130" t="s">
        <v>1036</v>
      </c>
      <c r="E130" t="s">
        <v>5</v>
      </c>
      <c r="F130" t="s">
        <v>1025</v>
      </c>
      <c r="G130" t="s">
        <v>779</v>
      </c>
      <c r="H130" t="s">
        <v>633</v>
      </c>
      <c r="J130" t="s">
        <v>44</v>
      </c>
      <c r="K130" t="s">
        <v>1901</v>
      </c>
      <c r="M130" s="18" t="str">
        <f t="shared" si="5"/>
        <v>XIC Always_False OTE PL2_4228_321_BLR_0243_YCI</v>
      </c>
    </row>
    <row r="131" spans="2:13" x14ac:dyDescent="0.25">
      <c r="B131" t="s">
        <v>1036</v>
      </c>
      <c r="E131" t="s">
        <v>5</v>
      </c>
      <c r="F131" t="s">
        <v>1026</v>
      </c>
      <c r="G131" t="s">
        <v>779</v>
      </c>
      <c r="H131" t="s">
        <v>18</v>
      </c>
      <c r="J131" t="s">
        <v>44</v>
      </c>
      <c r="K131" t="s">
        <v>1902</v>
      </c>
      <c r="M131" s="18" t="str">
        <f t="shared" si="5"/>
        <v>XIC Always_False OTE PL2_4228_321_BLR_0243_YRI</v>
      </c>
    </row>
    <row r="132" spans="2:13" x14ac:dyDescent="0.25">
      <c r="B132" t="s">
        <v>1036</v>
      </c>
      <c r="E132" t="s">
        <v>6</v>
      </c>
      <c r="F132" t="s">
        <v>1376</v>
      </c>
      <c r="G132" t="s">
        <v>1085</v>
      </c>
      <c r="H132" t="s">
        <v>1035</v>
      </c>
      <c r="J132" t="s">
        <v>44</v>
      </c>
      <c r="K132" t="s">
        <v>1903</v>
      </c>
      <c r="M132" s="18" t="str">
        <f t="shared" si="5"/>
        <v>XIC PL2_4228_321_BLR_0240_HSS OTE Communication_Command_</v>
      </c>
    </row>
    <row r="133" spans="2:13" x14ac:dyDescent="0.25">
      <c r="B133" t="s">
        <v>1036</v>
      </c>
      <c r="E133" t="s">
        <v>5</v>
      </c>
      <c r="F133" t="s">
        <v>1027</v>
      </c>
      <c r="G133" t="s">
        <v>782</v>
      </c>
      <c r="H133" t="s">
        <v>633</v>
      </c>
      <c r="J133" t="s">
        <v>44</v>
      </c>
      <c r="K133" t="s">
        <v>1904</v>
      </c>
      <c r="M133" s="18" t="str">
        <f t="shared" si="5"/>
        <v>XIC Always_False OTE PL2_4228_321_BLR_0253_YCI</v>
      </c>
    </row>
    <row r="134" spans="2:13" x14ac:dyDescent="0.25">
      <c r="B134" t="s">
        <v>1036</v>
      </c>
      <c r="E134" t="s">
        <v>5</v>
      </c>
      <c r="F134" t="s">
        <v>1028</v>
      </c>
      <c r="G134" t="s">
        <v>782</v>
      </c>
      <c r="H134" t="s">
        <v>18</v>
      </c>
      <c r="J134" t="s">
        <v>44</v>
      </c>
      <c r="K134" t="s">
        <v>1905</v>
      </c>
      <c r="M134" s="18" t="str">
        <f t="shared" si="5"/>
        <v>XIC Always_False OTE PL2_4228_321_BLR_0253_YRI</v>
      </c>
    </row>
    <row r="135" spans="2:13" x14ac:dyDescent="0.25">
      <c r="B135" t="s">
        <v>1036</v>
      </c>
      <c r="E135" t="s">
        <v>5</v>
      </c>
      <c r="F135" t="s">
        <v>1029</v>
      </c>
      <c r="G135" t="s">
        <v>781</v>
      </c>
      <c r="H135" t="s">
        <v>633</v>
      </c>
      <c r="J135" t="s">
        <v>44</v>
      </c>
      <c r="K135" t="s">
        <v>1906</v>
      </c>
      <c r="M135" s="18" t="str">
        <f t="shared" si="5"/>
        <v>XIC Always_False OTE PL2_4228_321_BLR_0263_YCI</v>
      </c>
    </row>
    <row r="136" spans="2:13" x14ac:dyDescent="0.25">
      <c r="B136" t="s">
        <v>1036</v>
      </c>
      <c r="E136" t="s">
        <v>5</v>
      </c>
      <c r="F136" t="s">
        <v>1030</v>
      </c>
      <c r="G136" t="s">
        <v>781</v>
      </c>
      <c r="H136" t="s">
        <v>18</v>
      </c>
      <c r="J136" t="s">
        <v>44</v>
      </c>
      <c r="K136" t="s">
        <v>1907</v>
      </c>
      <c r="M136" s="18" t="str">
        <f t="shared" si="5"/>
        <v>XIC Always_False OTE PL2_4228_321_BLR_0263_YRI</v>
      </c>
    </row>
    <row r="137" spans="2:13" x14ac:dyDescent="0.25">
      <c r="B137" t="s">
        <v>1036</v>
      </c>
      <c r="E137" t="s">
        <v>6</v>
      </c>
      <c r="F137" t="s">
        <v>1375</v>
      </c>
      <c r="G137" t="s">
        <v>1086</v>
      </c>
      <c r="H137" t="s">
        <v>1035</v>
      </c>
      <c r="J137" t="s">
        <v>44</v>
      </c>
      <c r="K137" t="s">
        <v>1908</v>
      </c>
      <c r="M137" s="18" t="str">
        <f t="shared" si="5"/>
        <v>XIC PL2_4228_321_BLR_0260_HSS OTE Communication_Command_</v>
      </c>
    </row>
    <row r="138" spans="2:13" x14ac:dyDescent="0.25">
      <c r="B138" t="s">
        <v>1036</v>
      </c>
      <c r="E138" t="s">
        <v>5</v>
      </c>
      <c r="F138" t="s">
        <v>1031</v>
      </c>
      <c r="G138" t="s">
        <v>783</v>
      </c>
      <c r="H138" t="s">
        <v>633</v>
      </c>
      <c r="J138" t="s">
        <v>44</v>
      </c>
      <c r="K138" t="s">
        <v>1909</v>
      </c>
      <c r="M138" s="18" t="str">
        <f t="shared" si="5"/>
        <v>XIC Always_False OTE PL2_4228_321_BLR_0273_YCI</v>
      </c>
    </row>
    <row r="139" spans="2:13" x14ac:dyDescent="0.25">
      <c r="B139" t="s">
        <v>1036</v>
      </c>
      <c r="E139" t="s">
        <v>5</v>
      </c>
      <c r="F139" t="s">
        <v>1032</v>
      </c>
      <c r="G139" t="s">
        <v>783</v>
      </c>
      <c r="H139" t="s">
        <v>18</v>
      </c>
      <c r="J139" t="s">
        <v>44</v>
      </c>
      <c r="K139" t="s">
        <v>1910</v>
      </c>
      <c r="M139" s="18" t="str">
        <f t="shared" si="5"/>
        <v>XIC Always_False OTE PL2_4228_321_BLR_0273_YRI</v>
      </c>
    </row>
    <row r="140" spans="2:13" x14ac:dyDescent="0.25">
      <c r="B140" t="s">
        <v>1036</v>
      </c>
      <c r="E140" t="s">
        <v>5</v>
      </c>
      <c r="F140" t="s">
        <v>1033</v>
      </c>
      <c r="G140" t="s">
        <v>784</v>
      </c>
      <c r="H140" t="s">
        <v>633</v>
      </c>
      <c r="J140" t="s">
        <v>44</v>
      </c>
      <c r="K140" t="s">
        <v>1911</v>
      </c>
      <c r="M140" s="18" t="str">
        <f t="shared" si="5"/>
        <v>XIC Always_False OTE PL2_4228_321_BLR_0283_YCI</v>
      </c>
    </row>
    <row r="141" spans="2:13" x14ac:dyDescent="0.25">
      <c r="B141" t="s">
        <v>1036</v>
      </c>
      <c r="E141" t="s">
        <v>5</v>
      </c>
      <c r="F141" t="s">
        <v>1034</v>
      </c>
      <c r="G141" t="s">
        <v>784</v>
      </c>
      <c r="H141" t="s">
        <v>18</v>
      </c>
      <c r="J141" t="s">
        <v>44</v>
      </c>
      <c r="K141" t="s">
        <v>1912</v>
      </c>
      <c r="M141" s="18" t="str">
        <f t="shared" si="5"/>
        <v>XIC Always_False OTE PL2_4228_321_BLR_0283_YRI</v>
      </c>
    </row>
    <row r="142" spans="2:13" x14ac:dyDescent="0.25">
      <c r="B142" t="s">
        <v>1036</v>
      </c>
      <c r="E142" t="s">
        <v>6</v>
      </c>
      <c r="F142" t="s">
        <v>1374</v>
      </c>
      <c r="G142" t="s">
        <v>1087</v>
      </c>
      <c r="H142" t="s">
        <v>1035</v>
      </c>
      <c r="J142" t="s">
        <v>44</v>
      </c>
      <c r="K142" t="s">
        <v>1913</v>
      </c>
      <c r="M142" s="18" t="str">
        <f t="shared" si="5"/>
        <v>XIC PL2_4228_321_BLR_0280_HSS OTE Communication_Command_</v>
      </c>
    </row>
    <row r="143" spans="2:13" x14ac:dyDescent="0.25">
      <c r="B143" t="s">
        <v>1036</v>
      </c>
      <c r="E143" t="s">
        <v>5</v>
      </c>
      <c r="F143" t="s">
        <v>1346</v>
      </c>
      <c r="G143" t="s">
        <v>1214</v>
      </c>
      <c r="H143" t="s">
        <v>633</v>
      </c>
      <c r="J143" t="s">
        <v>44</v>
      </c>
      <c r="K143" t="s">
        <v>1655</v>
      </c>
      <c r="L143"/>
      <c r="M143" s="18" t="str">
        <f t="shared" si="5"/>
        <v>XIC Always_False OTE PL2_4227_052_VLV_0131_YCI</v>
      </c>
    </row>
    <row r="144" spans="2:13" x14ac:dyDescent="0.25">
      <c r="B144" t="s">
        <v>1036</v>
      </c>
      <c r="E144" t="s">
        <v>5</v>
      </c>
      <c r="F144" t="s">
        <v>1640</v>
      </c>
      <c r="G144" t="s">
        <v>1214</v>
      </c>
      <c r="H144" s="22" t="s">
        <v>1623</v>
      </c>
      <c r="J144" t="s">
        <v>44</v>
      </c>
      <c r="K144" t="s">
        <v>1656</v>
      </c>
      <c r="L144"/>
      <c r="M144" s="18" t="str">
        <f t="shared" si="5"/>
        <v>XIC Always_False OTE PL2_4227_052_VLV_0131_ZSC</v>
      </c>
    </row>
    <row r="145" spans="2:13" x14ac:dyDescent="0.25">
      <c r="B145" t="s">
        <v>1036</v>
      </c>
      <c r="E145" t="s">
        <v>5</v>
      </c>
      <c r="F145" t="s">
        <v>1625</v>
      </c>
      <c r="G145" t="s">
        <v>1214</v>
      </c>
      <c r="H145" s="22" t="s">
        <v>1624</v>
      </c>
      <c r="J145" t="s">
        <v>44</v>
      </c>
      <c r="K145" t="s">
        <v>1657</v>
      </c>
      <c r="L145"/>
      <c r="M145" s="18" t="str">
        <f t="shared" si="5"/>
        <v>XIC Always_False OTE PL2_4227_052_VLV_0131_ZSO</v>
      </c>
    </row>
    <row r="146" spans="2:13" x14ac:dyDescent="0.25">
      <c r="B146" t="s">
        <v>1036</v>
      </c>
      <c r="E146" t="s">
        <v>5</v>
      </c>
      <c r="F146" t="s">
        <v>1332</v>
      </c>
      <c r="G146" t="s">
        <v>1216</v>
      </c>
      <c r="H146" t="s">
        <v>633</v>
      </c>
      <c r="J146" t="s">
        <v>44</v>
      </c>
      <c r="K146" t="s">
        <v>1658</v>
      </c>
      <c r="L146"/>
      <c r="M146" s="18" t="str">
        <f t="shared" si="5"/>
        <v>XIC Always_False OTE PL2_4227_052_VLV_0132_YCI</v>
      </c>
    </row>
    <row r="147" spans="2:13" x14ac:dyDescent="0.25">
      <c r="B147" t="s">
        <v>1036</v>
      </c>
      <c r="E147" t="s">
        <v>5</v>
      </c>
      <c r="F147" t="s">
        <v>1641</v>
      </c>
      <c r="G147" t="s">
        <v>1216</v>
      </c>
      <c r="H147" s="22" t="s">
        <v>1623</v>
      </c>
      <c r="J147" t="s">
        <v>44</v>
      </c>
      <c r="K147" t="s">
        <v>1659</v>
      </c>
      <c r="L147"/>
      <c r="M147" s="18" t="str">
        <f t="shared" si="5"/>
        <v>XIC Always_False OTE PL2_4227_052_VLV_0132_ZSC</v>
      </c>
    </row>
    <row r="148" spans="2:13" x14ac:dyDescent="0.25">
      <c r="B148" t="s">
        <v>1036</v>
      </c>
      <c r="E148" t="s">
        <v>5</v>
      </c>
      <c r="F148" t="s">
        <v>1626</v>
      </c>
      <c r="G148" t="s">
        <v>1216</v>
      </c>
      <c r="H148" s="22" t="s">
        <v>1624</v>
      </c>
      <c r="J148" t="s">
        <v>44</v>
      </c>
      <c r="K148" t="s">
        <v>1660</v>
      </c>
      <c r="L148"/>
      <c r="M148" s="18" t="str">
        <f t="shared" si="5"/>
        <v>XIC Always_False OTE PL2_4227_052_VLV_0132_ZSO</v>
      </c>
    </row>
    <row r="149" spans="2:13" x14ac:dyDescent="0.25">
      <c r="B149" t="s">
        <v>1036</v>
      </c>
      <c r="E149" t="s">
        <v>5</v>
      </c>
      <c r="F149" t="s">
        <v>1333</v>
      </c>
      <c r="G149" t="s">
        <v>1206</v>
      </c>
      <c r="H149" t="s">
        <v>633</v>
      </c>
      <c r="J149" t="s">
        <v>44</v>
      </c>
      <c r="K149" t="s">
        <v>1661</v>
      </c>
      <c r="L149"/>
      <c r="M149" s="18" t="str">
        <f t="shared" si="5"/>
        <v>XIC Always_False OTE PL2_4227_052_VLV_0133_YCI</v>
      </c>
    </row>
    <row r="150" spans="2:13" x14ac:dyDescent="0.25">
      <c r="B150" t="s">
        <v>1036</v>
      </c>
      <c r="E150" t="s">
        <v>5</v>
      </c>
      <c r="F150" t="s">
        <v>1642</v>
      </c>
      <c r="G150" t="s">
        <v>1206</v>
      </c>
      <c r="H150" s="22" t="s">
        <v>1623</v>
      </c>
      <c r="J150" t="s">
        <v>44</v>
      </c>
      <c r="K150" t="s">
        <v>1662</v>
      </c>
      <c r="L150"/>
      <c r="M150" s="18" t="str">
        <f t="shared" si="5"/>
        <v>XIC Always_False OTE PL2_4227_052_VLV_0133_ZSC</v>
      </c>
    </row>
    <row r="151" spans="2:13" x14ac:dyDescent="0.25">
      <c r="B151" t="s">
        <v>1036</v>
      </c>
      <c r="E151" t="s">
        <v>5</v>
      </c>
      <c r="F151" t="s">
        <v>1627</v>
      </c>
      <c r="G151" t="s">
        <v>1206</v>
      </c>
      <c r="H151" s="22" t="s">
        <v>1624</v>
      </c>
      <c r="J151" t="s">
        <v>44</v>
      </c>
      <c r="K151" t="s">
        <v>1663</v>
      </c>
      <c r="L151"/>
      <c r="M151" s="18" t="str">
        <f t="shared" si="5"/>
        <v>XIC Always_False OTE PL2_4227_052_VLV_0133_ZSO</v>
      </c>
    </row>
    <row r="152" spans="2:13" x14ac:dyDescent="0.25">
      <c r="B152" t="s">
        <v>1036</v>
      </c>
      <c r="E152" t="s">
        <v>5</v>
      </c>
      <c r="F152" t="s">
        <v>1334</v>
      </c>
      <c r="G152" t="s">
        <v>1217</v>
      </c>
      <c r="H152" t="s">
        <v>633</v>
      </c>
      <c r="J152" t="s">
        <v>44</v>
      </c>
      <c r="K152" t="s">
        <v>1664</v>
      </c>
      <c r="L152"/>
      <c r="M152" s="18" t="str">
        <f t="shared" si="5"/>
        <v>XIC Always_False OTE PL2_4227_052_VLV_0134_YCI</v>
      </c>
    </row>
    <row r="153" spans="2:13" x14ac:dyDescent="0.25">
      <c r="B153" t="s">
        <v>1036</v>
      </c>
      <c r="E153" t="s">
        <v>5</v>
      </c>
      <c r="F153" t="s">
        <v>1643</v>
      </c>
      <c r="G153" t="s">
        <v>1217</v>
      </c>
      <c r="H153" s="22" t="s">
        <v>1623</v>
      </c>
      <c r="J153" t="s">
        <v>44</v>
      </c>
      <c r="K153" t="s">
        <v>1665</v>
      </c>
      <c r="L153"/>
      <c r="M153" s="18" t="str">
        <f t="shared" si="5"/>
        <v>XIC Always_False OTE PL2_4227_052_VLV_0134_ZSC</v>
      </c>
    </row>
    <row r="154" spans="2:13" x14ac:dyDescent="0.25">
      <c r="B154" t="s">
        <v>1036</v>
      </c>
      <c r="E154" t="s">
        <v>5</v>
      </c>
      <c r="F154" t="s">
        <v>1628</v>
      </c>
      <c r="G154" t="s">
        <v>1217</v>
      </c>
      <c r="H154" s="22" t="s">
        <v>1624</v>
      </c>
      <c r="J154" t="s">
        <v>44</v>
      </c>
      <c r="K154" t="s">
        <v>1666</v>
      </c>
      <c r="L154"/>
      <c r="M154" s="18" t="str">
        <f t="shared" si="5"/>
        <v>XIC Always_False OTE PL2_4227_052_VLV_0134_ZSO</v>
      </c>
    </row>
    <row r="155" spans="2:13" x14ac:dyDescent="0.25">
      <c r="B155" t="s">
        <v>1036</v>
      </c>
      <c r="E155" t="s">
        <v>5</v>
      </c>
      <c r="F155" t="s">
        <v>1335</v>
      </c>
      <c r="G155" t="s">
        <v>1207</v>
      </c>
      <c r="H155" t="s">
        <v>633</v>
      </c>
      <c r="J155" t="s">
        <v>44</v>
      </c>
      <c r="K155" t="s">
        <v>1667</v>
      </c>
      <c r="L155"/>
      <c r="M155" s="18" t="str">
        <f t="shared" si="5"/>
        <v>XIC Always_False OTE PL2_4227_052_VLV_0135_YCI</v>
      </c>
    </row>
    <row r="156" spans="2:13" x14ac:dyDescent="0.25">
      <c r="B156" t="s">
        <v>1036</v>
      </c>
      <c r="E156" t="s">
        <v>5</v>
      </c>
      <c r="F156" t="s">
        <v>1644</v>
      </c>
      <c r="G156" t="s">
        <v>1207</v>
      </c>
      <c r="H156" s="22" t="s">
        <v>1623</v>
      </c>
      <c r="J156" t="s">
        <v>44</v>
      </c>
      <c r="K156" t="s">
        <v>1668</v>
      </c>
      <c r="L156"/>
      <c r="M156" s="18" t="str">
        <f t="shared" si="5"/>
        <v>XIC Always_False OTE PL2_4227_052_VLV_0135_ZSC</v>
      </c>
    </row>
    <row r="157" spans="2:13" x14ac:dyDescent="0.25">
      <c r="B157" t="s">
        <v>1036</v>
      </c>
      <c r="E157" t="s">
        <v>5</v>
      </c>
      <c r="F157" t="s">
        <v>1629</v>
      </c>
      <c r="G157" t="s">
        <v>1207</v>
      </c>
      <c r="H157" s="22" t="s">
        <v>1624</v>
      </c>
      <c r="J157" t="s">
        <v>44</v>
      </c>
      <c r="K157" t="s">
        <v>1669</v>
      </c>
      <c r="L157"/>
      <c r="M157" s="18" t="str">
        <f t="shared" si="5"/>
        <v>XIC Always_False OTE PL2_4227_052_VLV_0135_ZSO</v>
      </c>
    </row>
    <row r="158" spans="2:13" x14ac:dyDescent="0.25">
      <c r="B158" t="s">
        <v>1036</v>
      </c>
      <c r="E158" t="s">
        <v>5</v>
      </c>
      <c r="F158" t="s">
        <v>1336</v>
      </c>
      <c r="G158" t="s">
        <v>1208</v>
      </c>
      <c r="H158" t="s">
        <v>633</v>
      </c>
      <c r="J158" t="s">
        <v>44</v>
      </c>
      <c r="K158" t="s">
        <v>1670</v>
      </c>
      <c r="L158"/>
      <c r="M158" s="18" t="str">
        <f>IF(B158 = "P2P",
          "Real P2P Condition",
IF(B158 = "Dummy P2P",
          IF(E158 = "DI",
                    IF(J158 = "fbDigital",
                              _xlfn.CONCAT("fbDigital ", F158, " ", F158, ".i_Raw"),
                              _xlfn.CONCAT("XIC Always_False OTE ", F158)),
                    IF(E158 = "DO",
                              _xlfn.CONCAT("XIC ", F158, " OTE Communication_Command_"),
                              IF(E158 = "AI",
                                        IF(J158 = "fbAnalog",
                                                  _xlfn.CONCAT("fbAnalog ", F158, " SysClock.o_NewDay 0 0 0.0"),
                                                  _xlfn.CONCAT("MOVE 0.0 ", F158)),
                                        IF(E158 = "AO",
                                                  _xlfn.CONCAT("MOVE ", F158, " Communication_Setpoint"),
                                                  "Set Type")))),
IF(E158 = "DI",
          IF(ISBLANK(F158),
                    _xlfn.CONCAT("XIC ", B158, ":", C158, ":I.Data.", D158, " NOP"),
                    IF(ISNUMBER(SEARCH("fbDigital", J158)),
                              _xlfn.CONCAT("fbDigital ", F158, " ", B158, ":", C158, ":I.Data.", D158),
                              _xlfn.CONCAT("XIC ", B158, ":", C158, ":I.Data.", D158, " OTE ", F158))),
IF(E158 = "DO",
          IF(ISBLANK(F158),
                    _xlfn.CONCAT("XIC ",B158, ":", C158, ":O.Data.", D158, " OTE ", B158, ":", C158, ":O.Data.", D158),
                    _xlfn.CONCAT("XIC ", F158, " OTE ", B158, ":", C158, ":O.Data.", D158)),
IF(E158 = "AI",
          IF(ISBLANK(F158),
                    "NOP",
                    IF(ISNUMBER(SEARCH("fbAnalog", J158)),
                              _xlfn.CONCAT("fbAnalog ", F158, " SysClock.o_NewDay ", B158, ":", C158, ":I.Ch[", D158, "].Fault 0 ", B158, ":", C158, ":I.Ch[", D158, "].Data"),
                              _xlfn.CONCAT("MOVE ", B158, ":", C158, ":I.Ch[", D158, "].Data ", F158))),
IF(E158 = "AO",
          IF(ISBLANK(F158),
                    "NOP",
                    _xlfn.CONCAT("MOVE ", F158, " ", B158, ":", C158, ":O.Ch[", D158, "].Data")),
"Set Rack and Type"))))))</f>
        <v>XIC Always_False OTE PL2_4227_052_VLV_0141_YCI</v>
      </c>
    </row>
    <row r="159" spans="2:13" x14ac:dyDescent="0.25">
      <c r="B159" t="s">
        <v>1036</v>
      </c>
      <c r="E159" t="s">
        <v>5</v>
      </c>
      <c r="F159" t="s">
        <v>1645</v>
      </c>
      <c r="G159" t="s">
        <v>1208</v>
      </c>
      <c r="H159" s="22" t="s">
        <v>1623</v>
      </c>
      <c r="J159" t="s">
        <v>44</v>
      </c>
      <c r="K159" t="s">
        <v>1671</v>
      </c>
      <c r="L159"/>
      <c r="M159" s="18" t="str">
        <f>IF(B159 = "P2P",
          "Real P2P Condition",
IF(B159 = "Dummy P2P",
          IF(E159 = "DI",
                    IF(J159 = "fbDigital",
                              _xlfn.CONCAT("fbDigital ", F159, " ", F159, ".i_Raw"),
                              _xlfn.CONCAT("XIC Always_False OTE ", F159)),
                    IF(E159 = "DO",
                              _xlfn.CONCAT("XIC ", F159, " OTE Communication_Command_"),
                              IF(E159 = "AI",
                                        IF(J159 = "fbAnalog",
                                                  _xlfn.CONCAT("fbAnalog ", F159, " SysClock.o_NewDay 0 0 0.0"),
                                                  _xlfn.CONCAT("MOVE 0.0 ", F159)),
                                        IF(E159 = "AO",
                                                  _xlfn.CONCAT("MOVE ", F159, " Communication_Setpoint"),
                                                  "Set Type")))),
IF(E159 = "DI",
          IF(ISBLANK(F159),
                    _xlfn.CONCAT("XIC ", B159, ":", C159, ":I.Data.", D159, " NOP"),
                    IF(ISNUMBER(SEARCH("fbDigital", J159)),
                              _xlfn.CONCAT("fbDigital ", F159, " ", B159, ":", C159, ":I.Data.", D159),
                              _xlfn.CONCAT("XIC ", B159, ":", C159, ":I.Data.", D159, " OTE ", F159))),
IF(E159 = "DO",
          IF(ISBLANK(F159),
                    _xlfn.CONCAT("XIC ",B159, ":", C159, ":O.Data.", D159, " OTE ", B159, ":", C159, ":O.Data.", D159),
                    _xlfn.CONCAT("XIC ", F159, " OTE ", B159, ":", C159, ":O.Data.", D159)),
IF(E159 = "AI",
          IF(ISBLANK(F159),
                    "NOP",
                    IF(ISNUMBER(SEARCH("fbAnalog", J159)),
                              _xlfn.CONCAT("fbAnalog ", F159, " SysClock.o_NewDay ", B159, ":", C159, ":I.Ch[", D159, "].Fault 0 ", B159, ":", C159, ":I.Ch[", D159, "].Data"),
                              _xlfn.CONCAT("MOVE ", B159, ":", C159, ":I.Ch[", D159, "].Data ", F159))),
IF(E159 = "AO",
          IF(ISBLANK(F159),
                    "NOP",
                    _xlfn.CONCAT("MOVE ", F159, " ", B159, ":", C159, ":O.Ch[", D159, "].Data")),
"Set Rack and Type"))))))</f>
        <v>XIC Always_False OTE PL2_4227_052_VLV_0141_ZSC</v>
      </c>
    </row>
    <row r="160" spans="2:13" x14ac:dyDescent="0.25">
      <c r="B160" t="s">
        <v>1036</v>
      </c>
      <c r="E160" t="s">
        <v>5</v>
      </c>
      <c r="F160" t="s">
        <v>1630</v>
      </c>
      <c r="G160" t="s">
        <v>1208</v>
      </c>
      <c r="H160" s="22" t="s">
        <v>1624</v>
      </c>
      <c r="J160" t="s">
        <v>44</v>
      </c>
      <c r="K160" t="s">
        <v>1672</v>
      </c>
      <c r="L160"/>
      <c r="M160" s="18" t="str">
        <f>IF(B160 = "P2P",
          "Real P2P Condition",
IF(B160 = "Dummy P2P",
          IF(E160 = "DI",
                    IF(J160 = "fbDigital",
                              _xlfn.CONCAT("fbDigital ", F160, " ", F160, ".i_Raw"),
                              _xlfn.CONCAT("XIC Always_False OTE ", F160)),
                    IF(E160 = "DO",
                              _xlfn.CONCAT("XIC ", F160, " OTE Communication_Command_"),
                              IF(E160 = "AI",
                                        IF(J160 = "fbAnalog",
                                                  _xlfn.CONCAT("fbAnalog ", F160, " SysClock.o_NewDay 0 0 0.0"),
                                                  _xlfn.CONCAT("MOVE 0.0 ", F160)),
                                        IF(E160 = "AO",
                                                  _xlfn.CONCAT("MOVE ", F160, " Communication_Setpoint"),
                                                  "Set Type")))),
IF(E160 = "DI",
          IF(ISBLANK(F160),
                    _xlfn.CONCAT("XIC ", B160, ":", C160, ":I.Data.", D160, " NOP"),
                    IF(ISNUMBER(SEARCH("fbDigital", J160)),
                              _xlfn.CONCAT("fbDigital ", F160, " ", B160, ":", C160, ":I.Data.", D160),
                              _xlfn.CONCAT("XIC ", B160, ":", C160, ":I.Data.", D160, " OTE ", F160))),
IF(E160 = "DO",
          IF(ISBLANK(F160),
                    _xlfn.CONCAT("XIC ",B160, ":", C160, ":O.Data.", D160, " OTE ", B160, ":", C160, ":O.Data.", D160),
                    _xlfn.CONCAT("XIC ", F160, " OTE ", B160, ":", C160, ":O.Data.", D160)),
IF(E160 = "AI",
          IF(ISBLANK(F160),
                    "NOP",
                    IF(ISNUMBER(SEARCH("fbAnalog", J160)),
                              _xlfn.CONCAT("fbAnalog ", F160, " SysClock.o_NewDay ", B160, ":", C160, ":I.Ch[", D160, "].Fault 0 ", B160, ":", C160, ":I.Ch[", D160, "].Data"),
                              _xlfn.CONCAT("MOVE ", B160, ":", C160, ":I.Ch[", D160, "].Data ", F160))),
IF(E160 = "AO",
          IF(ISBLANK(F160),
                    "NOP",
                    _xlfn.CONCAT("MOVE ", F160, " ", B160, ":", C160, ":O.Ch[", D160, "].Data")),
"Set Rack and Type"))))))</f>
        <v>XIC Always_False OTE PL2_4227_052_VLV_0141_ZSO</v>
      </c>
    </row>
    <row r="161" spans="2:13" x14ac:dyDescent="0.25">
      <c r="B161" t="s">
        <v>1036</v>
      </c>
      <c r="E161" t="s">
        <v>5</v>
      </c>
      <c r="F161" t="s">
        <v>1337</v>
      </c>
      <c r="G161" t="s">
        <v>1218</v>
      </c>
      <c r="H161" t="s">
        <v>633</v>
      </c>
      <c r="J161" t="s">
        <v>44</v>
      </c>
      <c r="K161" t="s">
        <v>1673</v>
      </c>
      <c r="L161"/>
      <c r="M161" s="18" t="str">
        <f>IF(B161 = "P2P",
          "Real P2P Condition",
IF(B161 = "Dummy P2P",
          IF(E161 = "DI",
                    IF(J161 = "fbDigital",
                              _xlfn.CONCAT("fbDigital ", F161, " ", F161, ".i_Raw"),
                              _xlfn.CONCAT("XIC Always_False OTE ", F161)),
                    IF(E161 = "DO",
                              _xlfn.CONCAT("XIC ", F161, " OTE Communication_Command_"),
                              IF(E161 = "AI",
                                        IF(J161 = "fbAnalog",
                                                  _xlfn.CONCAT("fbAnalog ", F161, " SysClock.o_NewDay 0 0 0.0"),
                                                  _xlfn.CONCAT("MOVE 0.0 ", F161)),
                                        IF(E161 = "AO",
                                                  _xlfn.CONCAT("MOVE ", F161, " Communication_Setpoint"),
                                                  "Set Type")))),
IF(E161 = "DI",
          IF(ISBLANK(F161),
                    _xlfn.CONCAT("XIC ", B161, ":", C161, ":I.Data.", D161, " NOP"),
                    IF(ISNUMBER(SEARCH("fbDigital", J161)),
                              _xlfn.CONCAT("fbDigital ", F161, " ", B161, ":", C161, ":I.Data.", D161),
                              _xlfn.CONCAT("XIC ", B161, ":", C161, ":I.Data.", D161, " OTE ", F161))),
IF(E161 = "DO",
          IF(ISBLANK(F161),
                    _xlfn.CONCAT("XIC ",B161, ":", C161, ":O.Data.", D161, " OTE ", B161, ":", C161, ":O.Data.", D161),
                    _xlfn.CONCAT("XIC ", F161, " OTE ", B161, ":", C161, ":O.Data.", D161)),
IF(E161 = "AI",
          IF(ISBLANK(F161),
                    "NOP",
                    IF(ISNUMBER(SEARCH("fbAnalog", J161)),
                              _xlfn.CONCAT("fbAnalog ", F161, " SysClock.o_NewDay ", B161, ":", C161, ":I.Ch[", D161, "].Fault 0 ", B161, ":", C161, ":I.Ch[", D161, "].Data"),
                              _xlfn.CONCAT("MOVE ", B161, ":", C161, ":I.Ch[", D161, "].Data ", F161))),
IF(E161 = "AO",
          IF(ISBLANK(F161),
                    "NOP",
                    _xlfn.CONCAT("MOVE ", F161, " ", B161, ":", C161, ":O.Ch[", D161, "].Data")),
"Set Rack and Type"))))))</f>
        <v>XIC Always_False OTE PL2_4227_052_VLV_0142_YCI</v>
      </c>
    </row>
    <row r="162" spans="2:13" x14ac:dyDescent="0.25">
      <c r="B162" t="s">
        <v>1036</v>
      </c>
      <c r="E162" t="s">
        <v>5</v>
      </c>
      <c r="F162" t="s">
        <v>1646</v>
      </c>
      <c r="G162" t="s">
        <v>1218</v>
      </c>
      <c r="H162" s="22" t="s">
        <v>1623</v>
      </c>
      <c r="J162" t="s">
        <v>44</v>
      </c>
      <c r="K162" t="s">
        <v>1674</v>
      </c>
      <c r="L162"/>
      <c r="M162" s="18" t="str">
        <f>IF(B162 = "P2P",
          "Real P2P Condition",
IF(B162 = "Dummy P2P",
          IF(E162 = "DI",
                    IF(J162 = "fbDigital",
                              _xlfn.CONCAT("fbDigital ", F162, " ", F162, ".i_Raw"),
                              _xlfn.CONCAT("XIC Always_False OTE ", F162)),
                    IF(E162 = "DO",
                              _xlfn.CONCAT("XIC ", F162, " OTE Communication_Command_"),
                              IF(E162 = "AI",
                                        IF(J162 = "fbAnalog",
                                                  _xlfn.CONCAT("fbAnalog ", F162, " SysClock.o_NewDay 0 0 0.0"),
                                                  _xlfn.CONCAT("MOVE 0.0 ", F162)),
                                        IF(E162 = "AO",
                                                  _xlfn.CONCAT("MOVE ", F162, " Communication_Setpoint"),
                                                  "Set Type")))),
IF(E162 = "DI",
          IF(ISBLANK(F162),
                    _xlfn.CONCAT("XIC ", B162, ":", C162, ":I.Data.", D162, " NOP"),
                    IF(ISNUMBER(SEARCH("fbDigital", J162)),
                              _xlfn.CONCAT("fbDigital ", F162, " ", B162, ":", C162, ":I.Data.", D162),
                              _xlfn.CONCAT("XIC ", B162, ":", C162, ":I.Data.", D162, " OTE ", F162))),
IF(E162 = "DO",
          IF(ISBLANK(F162),
                    _xlfn.CONCAT("XIC ",B162, ":", C162, ":O.Data.", D162, " OTE ", B162, ":", C162, ":O.Data.", D162),
                    _xlfn.CONCAT("XIC ", F162, " OTE ", B162, ":", C162, ":O.Data.", D162)),
IF(E162 = "AI",
          IF(ISBLANK(F162),
                    "NOP",
                    IF(ISNUMBER(SEARCH("fbAnalog", J162)),
                              _xlfn.CONCAT("fbAnalog ", F162, " SysClock.o_NewDay ", B162, ":", C162, ":I.Ch[", D162, "].Fault 0 ", B162, ":", C162, ":I.Ch[", D162, "].Data"),
                              _xlfn.CONCAT("MOVE ", B162, ":", C162, ":I.Ch[", D162, "].Data ", F162))),
IF(E162 = "AO",
          IF(ISBLANK(F162),
                    "NOP",
                    _xlfn.CONCAT("MOVE ", F162, " ", B162, ":", C162, ":O.Ch[", D162, "].Data")),
"Set Rack and Type"))))))</f>
        <v>XIC Always_False OTE PL2_4227_052_VLV_0142_ZSC</v>
      </c>
    </row>
    <row r="163" spans="2:13" x14ac:dyDescent="0.25">
      <c r="B163" t="s">
        <v>1036</v>
      </c>
      <c r="E163" t="s">
        <v>5</v>
      </c>
      <c r="F163" t="s">
        <v>1631</v>
      </c>
      <c r="G163" t="s">
        <v>1218</v>
      </c>
      <c r="H163" s="22" t="s">
        <v>1624</v>
      </c>
      <c r="J163" t="s">
        <v>44</v>
      </c>
      <c r="K163" t="s">
        <v>1675</v>
      </c>
      <c r="L163"/>
      <c r="M163" s="18" t="str">
        <f>IF(B163 = "P2P",
          "Real P2P Condition",
IF(B163 = "Dummy P2P",
          IF(E163 = "DI",
                    IF(J163 = "fbDigital",
                              _xlfn.CONCAT("fbDigital ", F163, " ", F163, ".i_Raw"),
                              _xlfn.CONCAT("XIC Always_False OTE ", F163)),
                    IF(E163 = "DO",
                              _xlfn.CONCAT("XIC ", F163, " OTE Communication_Command_"),
                              IF(E163 = "AI",
                                        IF(J163 = "fbAnalog",
                                                  _xlfn.CONCAT("fbAnalog ", F163, " SysClock.o_NewDay 0 0 0.0"),
                                                  _xlfn.CONCAT("MOVE 0.0 ", F163)),
                                        IF(E163 = "AO",
                                                  _xlfn.CONCAT("MOVE ", F163, " Communication_Setpoint"),
                                                  "Set Type")))),
IF(E163 = "DI",
          IF(ISBLANK(F163),
                    _xlfn.CONCAT("XIC ", B163, ":", C163, ":I.Data.", D163, " NOP"),
                    IF(ISNUMBER(SEARCH("fbDigital", J163)),
                              _xlfn.CONCAT("fbDigital ", F163, " ", B163, ":", C163, ":I.Data.", D163),
                              _xlfn.CONCAT("XIC ", B163, ":", C163, ":I.Data.", D163, " OTE ", F163))),
IF(E163 = "DO",
          IF(ISBLANK(F163),
                    _xlfn.CONCAT("XIC ",B163, ":", C163, ":O.Data.", D163, " OTE ", B163, ":", C163, ":O.Data.", D163),
                    _xlfn.CONCAT("XIC ", F163, " OTE ", B163, ":", C163, ":O.Data.", D163)),
IF(E163 = "AI",
          IF(ISBLANK(F163),
                    "NOP",
                    IF(ISNUMBER(SEARCH("fbAnalog", J163)),
                              _xlfn.CONCAT("fbAnalog ", F163, " SysClock.o_NewDay ", B163, ":", C163, ":I.Ch[", D163, "].Fault 0 ", B163, ":", C163, ":I.Ch[", D163, "].Data"),
                              _xlfn.CONCAT("MOVE ", B163, ":", C163, ":I.Ch[", D163, "].Data ", F163))),
IF(E163 = "AO",
          IF(ISBLANK(F163),
                    "NOP",
                    _xlfn.CONCAT("MOVE ", F163, " ", B163, ":", C163, ":O.Ch[", D163, "].Data")),
"Set Rack and Type"))))))</f>
        <v>XIC Always_False OTE PL2_4227_052_VLV_0142_ZSO</v>
      </c>
    </row>
    <row r="164" spans="2:13" x14ac:dyDescent="0.25">
      <c r="B164" t="s">
        <v>1036</v>
      </c>
      <c r="E164" t="s">
        <v>5</v>
      </c>
      <c r="F164" t="s">
        <v>1338</v>
      </c>
      <c r="G164" t="s">
        <v>1209</v>
      </c>
      <c r="H164" t="s">
        <v>633</v>
      </c>
      <c r="J164" t="s">
        <v>44</v>
      </c>
      <c r="K164" t="s">
        <v>1676</v>
      </c>
      <c r="L164"/>
      <c r="M164" s="18" t="str">
        <f>IF(B164 = "P2P",
          "Real P2P Condition",
IF(B164 = "Dummy P2P",
          IF(E164 = "DI",
                    IF(J164 = "fbDigital",
                              _xlfn.CONCAT("fbDigital ", F164, " ", F164, ".i_Raw"),
                              _xlfn.CONCAT("XIC Always_False OTE ", F164)),
                    IF(E164 = "DO",
                              _xlfn.CONCAT("XIC ", F164, " OTE Communication_Command_"),
                              IF(E164 = "AI",
                                        IF(J164 = "fbAnalog",
                                                  _xlfn.CONCAT("fbAnalog ", F164, " SysClock.o_NewDay 0 0 0.0"),
                                                  _xlfn.CONCAT("MOVE 0.0 ", F164)),
                                        IF(E164 = "AO",
                                                  _xlfn.CONCAT("MOVE ", F164, " Communication_Setpoint"),
                                                  "Set Type")))),
IF(E164 = "DI",
          IF(ISBLANK(F164),
                    _xlfn.CONCAT("XIC ", B164, ":", C164, ":I.Data.", D164, " NOP"),
                    IF(ISNUMBER(SEARCH("fbDigital", J164)),
                              _xlfn.CONCAT("fbDigital ", F164, " ", B164, ":", C164, ":I.Data.", D164),
                              _xlfn.CONCAT("XIC ", B164, ":", C164, ":I.Data.", D164, " OTE ", F164))),
IF(E164 = "DO",
          IF(ISBLANK(F164),
                    _xlfn.CONCAT("XIC ",B164, ":", C164, ":O.Data.", D164, " OTE ", B164, ":", C164, ":O.Data.", D164),
                    _xlfn.CONCAT("XIC ", F164, " OTE ", B164, ":", C164, ":O.Data.", D164)),
IF(E164 = "AI",
          IF(ISBLANK(F164),
                    "NOP",
                    IF(ISNUMBER(SEARCH("fbAnalog", J164)),
                              _xlfn.CONCAT("fbAnalog ", F164, " SysClock.o_NewDay ", B164, ":", C164, ":I.Ch[", D164, "].Fault 0 ", B164, ":", C164, ":I.Ch[", D164, "].Data"),
                              _xlfn.CONCAT("MOVE ", B164, ":", C164, ":I.Ch[", D164, "].Data ", F164))),
IF(E164 = "AO",
          IF(ISBLANK(F164),
                    "NOP",
                    _xlfn.CONCAT("MOVE ", F164, " ", B164, ":", C164, ":O.Ch[", D164, "].Data")),
"Set Rack and Type"))))))</f>
        <v>XIC Always_False OTE PL2_4227_052_VLV_0143_YCI</v>
      </c>
    </row>
    <row r="165" spans="2:13" x14ac:dyDescent="0.25">
      <c r="B165" t="s">
        <v>1036</v>
      </c>
      <c r="E165" t="s">
        <v>5</v>
      </c>
      <c r="F165" t="s">
        <v>1647</v>
      </c>
      <c r="G165" t="s">
        <v>1209</v>
      </c>
      <c r="H165" s="22" t="s">
        <v>1623</v>
      </c>
      <c r="J165" t="s">
        <v>44</v>
      </c>
      <c r="K165" t="s">
        <v>1677</v>
      </c>
      <c r="L165"/>
      <c r="M165" s="18" t="str">
        <f>IF(B165 = "P2P",
          "Real P2P Condition",
IF(B165 = "Dummy P2P",
          IF(E165 = "DI",
                    IF(J165 = "fbDigital",
                              _xlfn.CONCAT("fbDigital ", F165, " ", F165, ".i_Raw"),
                              _xlfn.CONCAT("XIC Always_False OTE ", F165)),
                    IF(E165 = "DO",
                              _xlfn.CONCAT("XIC ", F165, " OTE Communication_Command_"),
                              IF(E165 = "AI",
                                        IF(J165 = "fbAnalog",
                                                  _xlfn.CONCAT("fbAnalog ", F165, " SysClock.o_NewDay 0 0 0.0"),
                                                  _xlfn.CONCAT("MOVE 0.0 ", F165)),
                                        IF(E165 = "AO",
                                                  _xlfn.CONCAT("MOVE ", F165, " Communication_Setpoint"),
                                                  "Set Type")))),
IF(E165 = "DI",
          IF(ISBLANK(F165),
                    _xlfn.CONCAT("XIC ", B165, ":", C165, ":I.Data.", D165, " NOP"),
                    IF(ISNUMBER(SEARCH("fbDigital", J165)),
                              _xlfn.CONCAT("fbDigital ", F165, " ", B165, ":", C165, ":I.Data.", D165),
                              _xlfn.CONCAT("XIC ", B165, ":", C165, ":I.Data.", D165, " OTE ", F165))),
IF(E165 = "DO",
          IF(ISBLANK(F165),
                    _xlfn.CONCAT("XIC ",B165, ":", C165, ":O.Data.", D165, " OTE ", B165, ":", C165, ":O.Data.", D165),
                    _xlfn.CONCAT("XIC ", F165, " OTE ", B165, ":", C165, ":O.Data.", D165)),
IF(E165 = "AI",
          IF(ISBLANK(F165),
                    "NOP",
                    IF(ISNUMBER(SEARCH("fbAnalog", J165)),
                              _xlfn.CONCAT("fbAnalog ", F165, " SysClock.o_NewDay ", B165, ":", C165, ":I.Ch[", D165, "].Fault 0 ", B165, ":", C165, ":I.Ch[", D165, "].Data"),
                              _xlfn.CONCAT("MOVE ", B165, ":", C165, ":I.Ch[", D165, "].Data ", F165))),
IF(E165 = "AO",
          IF(ISBLANK(F165),
                    "NOP",
                    _xlfn.CONCAT("MOVE ", F165, " ", B165, ":", C165, ":O.Ch[", D165, "].Data")),
"Set Rack and Type"))))))</f>
        <v>XIC Always_False OTE PL2_4227_052_VLV_0143_ZSC</v>
      </c>
    </row>
    <row r="166" spans="2:13" x14ac:dyDescent="0.25">
      <c r="B166" t="s">
        <v>1036</v>
      </c>
      <c r="E166" t="s">
        <v>5</v>
      </c>
      <c r="F166" t="s">
        <v>1632</v>
      </c>
      <c r="G166" t="s">
        <v>1209</v>
      </c>
      <c r="H166" s="22" t="s">
        <v>1624</v>
      </c>
      <c r="J166" t="s">
        <v>44</v>
      </c>
      <c r="K166" t="s">
        <v>1678</v>
      </c>
      <c r="L166"/>
      <c r="M166" s="18" t="str">
        <f>IF(B166 = "P2P",
          "Real P2P Condition",
IF(B166 = "Dummy P2P",
          IF(E166 = "DI",
                    IF(J166 = "fbDigital",
                              _xlfn.CONCAT("fbDigital ", F166, " ", F166, ".i_Raw"),
                              _xlfn.CONCAT("XIC Always_False OTE ", F166)),
                    IF(E166 = "DO",
                              _xlfn.CONCAT("XIC ", F166, " OTE Communication_Command_"),
                              IF(E166 = "AI",
                                        IF(J166 = "fbAnalog",
                                                  _xlfn.CONCAT("fbAnalog ", F166, " SysClock.o_NewDay 0 0 0.0"),
                                                  _xlfn.CONCAT("MOVE 0.0 ", F166)),
                                        IF(E166 = "AO",
                                                  _xlfn.CONCAT("MOVE ", F166, " Communication_Setpoint"),
                                                  "Set Type")))),
IF(E166 = "DI",
          IF(ISBLANK(F166),
                    _xlfn.CONCAT("XIC ", B166, ":", C166, ":I.Data.", D166, " NOP"),
                    IF(ISNUMBER(SEARCH("fbDigital", J166)),
                              _xlfn.CONCAT("fbDigital ", F166, " ", B166, ":", C166, ":I.Data.", D166),
                              _xlfn.CONCAT("XIC ", B166, ":", C166, ":I.Data.", D166, " OTE ", F166))),
IF(E166 = "DO",
          IF(ISBLANK(F166),
                    _xlfn.CONCAT("XIC ",B166, ":", C166, ":O.Data.", D166, " OTE ", B166, ":", C166, ":O.Data.", D166),
                    _xlfn.CONCAT("XIC ", F166, " OTE ", B166, ":", C166, ":O.Data.", D166)),
IF(E166 = "AI",
          IF(ISBLANK(F166),
                    "NOP",
                    IF(ISNUMBER(SEARCH("fbAnalog", J166)),
                              _xlfn.CONCAT("fbAnalog ", F166, " SysClock.o_NewDay ", B166, ":", C166, ":I.Ch[", D166, "].Fault 0 ", B166, ":", C166, ":I.Ch[", D166, "].Data"),
                              _xlfn.CONCAT("MOVE ", B166, ":", C166, ":I.Ch[", D166, "].Data ", F166))),
IF(E166 = "AO",
          IF(ISBLANK(F166),
                    "NOP",
                    _xlfn.CONCAT("MOVE ", F166, " ", B166, ":", C166, ":O.Ch[", D166, "].Data")),
"Set Rack and Type"))))))</f>
        <v>XIC Always_False OTE PL2_4227_052_VLV_0143_ZSO</v>
      </c>
    </row>
    <row r="167" spans="2:13" x14ac:dyDescent="0.25">
      <c r="B167" t="s">
        <v>1036</v>
      </c>
      <c r="E167" t="s">
        <v>5</v>
      </c>
      <c r="F167" t="s">
        <v>1339</v>
      </c>
      <c r="G167" t="s">
        <v>1219</v>
      </c>
      <c r="H167" t="s">
        <v>633</v>
      </c>
      <c r="J167" t="s">
        <v>44</v>
      </c>
      <c r="K167" t="s">
        <v>1679</v>
      </c>
      <c r="L167"/>
      <c r="M167" s="18" t="str">
        <f>IF(B167 = "P2P",
          "Real P2P Condition",
IF(B167 = "Dummy P2P",
          IF(E167 = "DI",
                    IF(J167 = "fbDigital",
                              _xlfn.CONCAT("fbDigital ", F167, " ", F167, ".i_Raw"),
                              _xlfn.CONCAT("XIC Always_False OTE ", F167)),
                    IF(E167 = "DO",
                              _xlfn.CONCAT("XIC ", F167, " OTE Communication_Command_"),
                              IF(E167 = "AI",
                                        IF(J167 = "fbAnalog",
                                                  _xlfn.CONCAT("fbAnalog ", F167, " SysClock.o_NewDay 0 0 0.0"),
                                                  _xlfn.CONCAT("MOVE 0.0 ", F167)),
                                        IF(E167 = "AO",
                                                  _xlfn.CONCAT("MOVE ", F167, " Communication_Setpoint"),
                                                  "Set Type")))),
IF(E167 = "DI",
          IF(ISBLANK(F167),
                    _xlfn.CONCAT("XIC ", B167, ":", C167, ":I.Data.", D167, " NOP"),
                    IF(ISNUMBER(SEARCH("fbDigital", J167)),
                              _xlfn.CONCAT("fbDigital ", F167, " ", B167, ":", C167, ":I.Data.", D167),
                              _xlfn.CONCAT("XIC ", B167, ":", C167, ":I.Data.", D167, " OTE ", F167))),
IF(E167 = "DO",
          IF(ISBLANK(F167),
                    _xlfn.CONCAT("XIC ",B167, ":", C167, ":O.Data.", D167, " OTE ", B167, ":", C167, ":O.Data.", D167),
                    _xlfn.CONCAT("XIC ", F167, " OTE ", B167, ":", C167, ":O.Data.", D167)),
IF(E167 = "AI",
          IF(ISBLANK(F167),
                    "NOP",
                    IF(ISNUMBER(SEARCH("fbAnalog", J167)),
                              _xlfn.CONCAT("fbAnalog ", F167, " SysClock.o_NewDay ", B167, ":", C167, ":I.Ch[", D167, "].Fault 0 ", B167, ":", C167, ":I.Ch[", D167, "].Data"),
                              _xlfn.CONCAT("MOVE ", B167, ":", C167, ":I.Ch[", D167, "].Data ", F167))),
IF(E167 = "AO",
          IF(ISBLANK(F167),
                    "NOP",
                    _xlfn.CONCAT("MOVE ", F167, " ", B167, ":", C167, ":O.Ch[", D167, "].Data")),
"Set Rack and Type"))))))</f>
        <v>XIC Always_False OTE PL2_4227_052_VLV_0144_YCI</v>
      </c>
    </row>
    <row r="168" spans="2:13" x14ac:dyDescent="0.25">
      <c r="B168" t="s">
        <v>1036</v>
      </c>
      <c r="E168" t="s">
        <v>5</v>
      </c>
      <c r="F168" t="s">
        <v>1648</v>
      </c>
      <c r="G168" t="s">
        <v>1219</v>
      </c>
      <c r="H168" s="22" t="s">
        <v>1623</v>
      </c>
      <c r="J168" t="s">
        <v>44</v>
      </c>
      <c r="K168" t="s">
        <v>1680</v>
      </c>
      <c r="L168"/>
      <c r="M168" s="18" t="str">
        <f>IF(B168 = "P2P",
          "Real P2P Condition",
IF(B168 = "Dummy P2P",
          IF(E168 = "DI",
                    IF(J168 = "fbDigital",
                              _xlfn.CONCAT("fbDigital ", F168, " ", F168, ".i_Raw"),
                              _xlfn.CONCAT("XIC Always_False OTE ", F168)),
                    IF(E168 = "DO",
                              _xlfn.CONCAT("XIC ", F168, " OTE Communication_Command_"),
                              IF(E168 = "AI",
                                        IF(J168 = "fbAnalog",
                                                  _xlfn.CONCAT("fbAnalog ", F168, " SysClock.o_NewDay 0 0 0.0"),
                                                  _xlfn.CONCAT("MOVE 0.0 ", F168)),
                                        IF(E168 = "AO",
                                                  _xlfn.CONCAT("MOVE ", F168, " Communication_Setpoint"),
                                                  "Set Type")))),
IF(E168 = "DI",
          IF(ISBLANK(F168),
                    _xlfn.CONCAT("XIC ", B168, ":", C168, ":I.Data.", D168, " NOP"),
                    IF(ISNUMBER(SEARCH("fbDigital", J168)),
                              _xlfn.CONCAT("fbDigital ", F168, " ", B168, ":", C168, ":I.Data.", D168),
                              _xlfn.CONCAT("XIC ", B168, ":", C168, ":I.Data.", D168, " OTE ", F168))),
IF(E168 = "DO",
          IF(ISBLANK(F168),
                    _xlfn.CONCAT("XIC ",B168, ":", C168, ":O.Data.", D168, " OTE ", B168, ":", C168, ":O.Data.", D168),
                    _xlfn.CONCAT("XIC ", F168, " OTE ", B168, ":", C168, ":O.Data.", D168)),
IF(E168 = "AI",
          IF(ISBLANK(F168),
                    "NOP",
                    IF(ISNUMBER(SEARCH("fbAnalog", J168)),
                              _xlfn.CONCAT("fbAnalog ", F168, " SysClock.o_NewDay ", B168, ":", C168, ":I.Ch[", D168, "].Fault 0 ", B168, ":", C168, ":I.Ch[", D168, "].Data"),
                              _xlfn.CONCAT("MOVE ", B168, ":", C168, ":I.Ch[", D168, "].Data ", F168))),
IF(E168 = "AO",
          IF(ISBLANK(F168),
                    "NOP",
                    _xlfn.CONCAT("MOVE ", F168, " ", B168, ":", C168, ":O.Ch[", D168, "].Data")),
"Set Rack and Type"))))))</f>
        <v>XIC Always_False OTE PL2_4227_052_VLV_0144_ZSC</v>
      </c>
    </row>
    <row r="169" spans="2:13" x14ac:dyDescent="0.25">
      <c r="B169" t="s">
        <v>1036</v>
      </c>
      <c r="E169" t="s">
        <v>5</v>
      </c>
      <c r="F169" t="s">
        <v>1633</v>
      </c>
      <c r="G169" t="s">
        <v>1219</v>
      </c>
      <c r="H169" s="22" t="s">
        <v>1624</v>
      </c>
      <c r="J169" t="s">
        <v>44</v>
      </c>
      <c r="K169" t="s">
        <v>1681</v>
      </c>
      <c r="L169"/>
      <c r="M169" s="18" t="str">
        <f>IF(B169 = "P2P",
          "Real P2P Condition",
IF(B169 = "Dummy P2P",
          IF(E169 = "DI",
                    IF(J169 = "fbDigital",
                              _xlfn.CONCAT("fbDigital ", F169, " ", F169, ".i_Raw"),
                              _xlfn.CONCAT("XIC Always_False OTE ", F169)),
                    IF(E169 = "DO",
                              _xlfn.CONCAT("XIC ", F169, " OTE Communication_Command_"),
                              IF(E169 = "AI",
                                        IF(J169 = "fbAnalog",
                                                  _xlfn.CONCAT("fbAnalog ", F169, " SysClock.o_NewDay 0 0 0.0"),
                                                  _xlfn.CONCAT("MOVE 0.0 ", F169)),
                                        IF(E169 = "AO",
                                                  _xlfn.CONCAT("MOVE ", F169, " Communication_Setpoint"),
                                                  "Set Type")))),
IF(E169 = "DI",
          IF(ISBLANK(F169),
                    _xlfn.CONCAT("XIC ", B169, ":", C169, ":I.Data.", D169, " NOP"),
                    IF(ISNUMBER(SEARCH("fbDigital", J169)),
                              _xlfn.CONCAT("fbDigital ", F169, " ", B169, ":", C169, ":I.Data.", D169),
                              _xlfn.CONCAT("XIC ", B169, ":", C169, ":I.Data.", D169, " OTE ", F169))),
IF(E169 = "DO",
          IF(ISBLANK(F169),
                    _xlfn.CONCAT("XIC ",B169, ":", C169, ":O.Data.", D169, " OTE ", B169, ":", C169, ":O.Data.", D169),
                    _xlfn.CONCAT("XIC ", F169, " OTE ", B169, ":", C169, ":O.Data.", D169)),
IF(E169 = "AI",
          IF(ISBLANK(F169),
                    "NOP",
                    IF(ISNUMBER(SEARCH("fbAnalog", J169)),
                              _xlfn.CONCAT("fbAnalog ", F169, " SysClock.o_NewDay ", B169, ":", C169, ":I.Ch[", D169, "].Fault 0 ", B169, ":", C169, ":I.Ch[", D169, "].Data"),
                              _xlfn.CONCAT("MOVE ", B169, ":", C169, ":I.Ch[", D169, "].Data ", F169))),
IF(E169 = "AO",
          IF(ISBLANK(F169),
                    "NOP",
                    _xlfn.CONCAT("MOVE ", F169, " ", B169, ":", C169, ":O.Ch[", D169, "].Data")),
"Set Rack and Type"))))))</f>
        <v>XIC Always_False OTE PL2_4227_052_VLV_0144_ZSO</v>
      </c>
    </row>
    <row r="170" spans="2:13" x14ac:dyDescent="0.25">
      <c r="B170" t="s">
        <v>1036</v>
      </c>
      <c r="E170" t="s">
        <v>5</v>
      </c>
      <c r="F170" t="s">
        <v>1340</v>
      </c>
      <c r="G170" t="s">
        <v>1210</v>
      </c>
      <c r="H170" t="s">
        <v>633</v>
      </c>
      <c r="J170" t="s">
        <v>44</v>
      </c>
      <c r="K170" t="s">
        <v>1682</v>
      </c>
      <c r="L170"/>
      <c r="M170" s="18" t="str">
        <f>IF(B170 = "P2P",
          "Real P2P Condition",
IF(B170 = "Dummy P2P",
          IF(E170 = "DI",
                    IF(J170 = "fbDigital",
                              _xlfn.CONCAT("fbDigital ", F170, " ", F170, ".i_Raw"),
                              _xlfn.CONCAT("XIC Always_False OTE ", F170)),
                    IF(E170 = "DO",
                              _xlfn.CONCAT("XIC ", F170, " OTE Communication_Command_"),
                              IF(E170 = "AI",
                                        IF(J170 = "fbAnalog",
                                                  _xlfn.CONCAT("fbAnalog ", F170, " SysClock.o_NewDay 0 0 0.0"),
                                                  _xlfn.CONCAT("MOVE 0.0 ", F170)),
                                        IF(E170 = "AO",
                                                  _xlfn.CONCAT("MOVE ", F170, " Communication_Setpoint"),
                                                  "Set Type")))),
IF(E170 = "DI",
          IF(ISBLANK(F170),
                    _xlfn.CONCAT("XIC ", B170, ":", C170, ":I.Data.", D170, " NOP"),
                    IF(ISNUMBER(SEARCH("fbDigital", J170)),
                              _xlfn.CONCAT("fbDigital ", F170, " ", B170, ":", C170, ":I.Data.", D170),
                              _xlfn.CONCAT("XIC ", B170, ":", C170, ":I.Data.", D170, " OTE ", F170))),
IF(E170 = "DO",
          IF(ISBLANK(F170),
                    _xlfn.CONCAT("XIC ",B170, ":", C170, ":O.Data.", D170, " OTE ", B170, ":", C170, ":O.Data.", D170),
                    _xlfn.CONCAT("XIC ", F170, " OTE ", B170, ":", C170, ":O.Data.", D170)),
IF(E170 = "AI",
          IF(ISBLANK(F170),
                    "NOP",
                    IF(ISNUMBER(SEARCH("fbAnalog", J170)),
                              _xlfn.CONCAT("fbAnalog ", F170, " SysClock.o_NewDay ", B170, ":", C170, ":I.Ch[", D170, "].Fault 0 ", B170, ":", C170, ":I.Ch[", D170, "].Data"),
                              _xlfn.CONCAT("MOVE ", B170, ":", C170, ":I.Ch[", D170, "].Data ", F170))),
IF(E170 = "AO",
          IF(ISBLANK(F170),
                    "NOP",
                    _xlfn.CONCAT("MOVE ", F170, " ", B170, ":", C170, ":O.Ch[", D170, "].Data")),
"Set Rack and Type"))))))</f>
        <v>XIC Always_False OTE PL2_4227_052_VLV_0145_YCI</v>
      </c>
    </row>
    <row r="171" spans="2:13" x14ac:dyDescent="0.25">
      <c r="B171" t="s">
        <v>1036</v>
      </c>
      <c r="E171" t="s">
        <v>5</v>
      </c>
      <c r="F171" t="s">
        <v>1649</v>
      </c>
      <c r="G171" t="s">
        <v>1210</v>
      </c>
      <c r="H171" s="22" t="s">
        <v>1623</v>
      </c>
      <c r="J171" t="s">
        <v>44</v>
      </c>
      <c r="K171" t="s">
        <v>1683</v>
      </c>
      <c r="L171"/>
      <c r="M171" s="18" t="str">
        <f>IF(B171 = "P2P",
          "Real P2P Condition",
IF(B171 = "Dummy P2P",
          IF(E171 = "DI",
                    IF(J171 = "fbDigital",
                              _xlfn.CONCAT("fbDigital ", F171, " ", F171, ".i_Raw"),
                              _xlfn.CONCAT("XIC Always_False OTE ", F171)),
                    IF(E171 = "DO",
                              _xlfn.CONCAT("XIC ", F171, " OTE Communication_Command_"),
                              IF(E171 = "AI",
                                        IF(J171 = "fbAnalog",
                                                  _xlfn.CONCAT("fbAnalog ", F171, " SysClock.o_NewDay 0 0 0.0"),
                                                  _xlfn.CONCAT("MOVE 0.0 ", F171)),
                                        IF(E171 = "AO",
                                                  _xlfn.CONCAT("MOVE ", F171, " Communication_Setpoint"),
                                                  "Set Type")))),
IF(E171 = "DI",
          IF(ISBLANK(F171),
                    _xlfn.CONCAT("XIC ", B171, ":", C171, ":I.Data.", D171, " NOP"),
                    IF(ISNUMBER(SEARCH("fbDigital", J171)),
                              _xlfn.CONCAT("fbDigital ", F171, " ", B171, ":", C171, ":I.Data.", D171),
                              _xlfn.CONCAT("XIC ", B171, ":", C171, ":I.Data.", D171, " OTE ", F171))),
IF(E171 = "DO",
          IF(ISBLANK(F171),
                    _xlfn.CONCAT("XIC ",B171, ":", C171, ":O.Data.", D171, " OTE ", B171, ":", C171, ":O.Data.", D171),
                    _xlfn.CONCAT("XIC ", F171, " OTE ", B171, ":", C171, ":O.Data.", D171)),
IF(E171 = "AI",
          IF(ISBLANK(F171),
                    "NOP",
                    IF(ISNUMBER(SEARCH("fbAnalog", J171)),
                              _xlfn.CONCAT("fbAnalog ", F171, " SysClock.o_NewDay ", B171, ":", C171, ":I.Ch[", D171, "].Fault 0 ", B171, ":", C171, ":I.Ch[", D171, "].Data"),
                              _xlfn.CONCAT("MOVE ", B171, ":", C171, ":I.Ch[", D171, "].Data ", F171))),
IF(E171 = "AO",
          IF(ISBLANK(F171),
                    "NOP",
                    _xlfn.CONCAT("MOVE ", F171, " ", B171, ":", C171, ":O.Ch[", D171, "].Data")),
"Set Rack and Type"))))))</f>
        <v>XIC Always_False OTE PL2_4227_052_VLV_0145_ZSC</v>
      </c>
    </row>
    <row r="172" spans="2:13" x14ac:dyDescent="0.25">
      <c r="B172" t="s">
        <v>1036</v>
      </c>
      <c r="E172" t="s">
        <v>5</v>
      </c>
      <c r="F172" t="s">
        <v>1634</v>
      </c>
      <c r="G172" t="s">
        <v>1210</v>
      </c>
      <c r="H172" s="22" t="s">
        <v>1624</v>
      </c>
      <c r="J172" t="s">
        <v>44</v>
      </c>
      <c r="K172" t="s">
        <v>1684</v>
      </c>
      <c r="L172"/>
      <c r="M172" s="18" t="str">
        <f>IF(B172 = "P2P",
          "Real P2P Condition",
IF(B172 = "Dummy P2P",
          IF(E172 = "DI",
                    IF(J172 = "fbDigital",
                              _xlfn.CONCAT("fbDigital ", F172, " ", F172, ".i_Raw"),
                              _xlfn.CONCAT("XIC Always_False OTE ", F172)),
                    IF(E172 = "DO",
                              _xlfn.CONCAT("XIC ", F172, " OTE Communication_Command_"),
                              IF(E172 = "AI",
                                        IF(J172 = "fbAnalog",
                                                  _xlfn.CONCAT("fbAnalog ", F172, " SysClock.o_NewDay 0 0 0.0"),
                                                  _xlfn.CONCAT("MOVE 0.0 ", F172)),
                                        IF(E172 = "AO",
                                                  _xlfn.CONCAT("MOVE ", F172, " Communication_Setpoint"),
                                                  "Set Type")))),
IF(E172 = "DI",
          IF(ISBLANK(F172),
                    _xlfn.CONCAT("XIC ", B172, ":", C172, ":I.Data.", D172, " NOP"),
                    IF(ISNUMBER(SEARCH("fbDigital", J172)),
                              _xlfn.CONCAT("fbDigital ", F172, " ", B172, ":", C172, ":I.Data.", D172),
                              _xlfn.CONCAT("XIC ", B172, ":", C172, ":I.Data.", D172, " OTE ", F172))),
IF(E172 = "DO",
          IF(ISBLANK(F172),
                    _xlfn.CONCAT("XIC ",B172, ":", C172, ":O.Data.", D172, " OTE ", B172, ":", C172, ":O.Data.", D172),
                    _xlfn.CONCAT("XIC ", F172, " OTE ", B172, ":", C172, ":O.Data.", D172)),
IF(E172 = "AI",
          IF(ISBLANK(F172),
                    "NOP",
                    IF(ISNUMBER(SEARCH("fbAnalog", J172)),
                              _xlfn.CONCAT("fbAnalog ", F172, " SysClock.o_NewDay ", B172, ":", C172, ":I.Ch[", D172, "].Fault 0 ", B172, ":", C172, ":I.Ch[", D172, "].Data"),
                              _xlfn.CONCAT("MOVE ", B172, ":", C172, ":I.Ch[", D172, "].Data ", F172))),
IF(E172 = "AO",
          IF(ISBLANK(F172),
                    "NOP",
                    _xlfn.CONCAT("MOVE ", F172, " ", B172, ":", C172, ":O.Ch[", D172, "].Data")),
"Set Rack and Type"))))))</f>
        <v>XIC Always_False OTE PL2_4227_052_VLV_0145_ZSO</v>
      </c>
    </row>
    <row r="173" spans="2:13" x14ac:dyDescent="0.25">
      <c r="B173" t="s">
        <v>1036</v>
      </c>
      <c r="E173" t="s">
        <v>5</v>
      </c>
      <c r="F173" t="s">
        <v>1341</v>
      </c>
      <c r="G173" t="s">
        <v>1211</v>
      </c>
      <c r="H173" t="s">
        <v>633</v>
      </c>
      <c r="J173" t="s">
        <v>44</v>
      </c>
      <c r="K173" t="s">
        <v>1685</v>
      </c>
      <c r="L173"/>
      <c r="M173" s="18" t="str">
        <f>IF(B173 = "P2P",
          "Real P2P Condition",
IF(B173 = "Dummy P2P",
          IF(E173 = "DI",
                    IF(J173 = "fbDigital",
                              _xlfn.CONCAT("fbDigital ", F173, " ", F173, ".i_Raw"),
                              _xlfn.CONCAT("XIC Always_False OTE ", F173)),
                    IF(E173 = "DO",
                              _xlfn.CONCAT("XIC ", F173, " OTE Communication_Command_"),
                              IF(E173 = "AI",
                                        IF(J173 = "fbAnalog",
                                                  _xlfn.CONCAT("fbAnalog ", F173, " SysClock.o_NewDay 0 0 0.0"),
                                                  _xlfn.CONCAT("MOVE 0.0 ", F173)),
                                        IF(E173 = "AO",
                                                  _xlfn.CONCAT("MOVE ", F173, " Communication_Setpoint"),
                                                  "Set Type")))),
IF(E173 = "DI",
          IF(ISBLANK(F173),
                    _xlfn.CONCAT("XIC ", B173, ":", C173, ":I.Data.", D173, " NOP"),
                    IF(ISNUMBER(SEARCH("fbDigital", J173)),
                              _xlfn.CONCAT("fbDigital ", F173, " ", B173, ":", C173, ":I.Data.", D173),
                              _xlfn.CONCAT("XIC ", B173, ":", C173, ":I.Data.", D173, " OTE ", F173))),
IF(E173 = "DO",
          IF(ISBLANK(F173),
                    _xlfn.CONCAT("XIC ",B173, ":", C173, ":O.Data.", D173, " OTE ", B173, ":", C173, ":O.Data.", D173),
                    _xlfn.CONCAT("XIC ", F173, " OTE ", B173, ":", C173, ":O.Data.", D173)),
IF(E173 = "AI",
          IF(ISBLANK(F173),
                    "NOP",
                    IF(ISNUMBER(SEARCH("fbAnalog", J173)),
                              _xlfn.CONCAT("fbAnalog ", F173, " SysClock.o_NewDay ", B173, ":", C173, ":I.Ch[", D173, "].Fault 0 ", B173, ":", C173, ":I.Ch[", D173, "].Data"),
                              _xlfn.CONCAT("MOVE ", B173, ":", C173, ":I.Ch[", D173, "].Data ", F173))),
IF(E173 = "AO",
          IF(ISBLANK(F173),
                    "NOP",
                    _xlfn.CONCAT("MOVE ", F173, " ", B173, ":", C173, ":O.Ch[", D173, "].Data")),
"Set Rack and Type"))))))</f>
        <v>XIC Always_False OTE PL2_4227_052_VLV_0151_YCI</v>
      </c>
    </row>
    <row r="174" spans="2:13" x14ac:dyDescent="0.25">
      <c r="B174" t="s">
        <v>1036</v>
      </c>
      <c r="E174" t="s">
        <v>5</v>
      </c>
      <c r="F174" t="s">
        <v>1650</v>
      </c>
      <c r="G174" t="s">
        <v>1211</v>
      </c>
      <c r="H174" s="22" t="s">
        <v>1623</v>
      </c>
      <c r="J174" t="s">
        <v>44</v>
      </c>
      <c r="K174" t="s">
        <v>1686</v>
      </c>
      <c r="L174"/>
      <c r="M174" s="18" t="str">
        <f>IF(B174 = "P2P",
          "Real P2P Condition",
IF(B174 = "Dummy P2P",
          IF(E174 = "DI",
                    IF(J174 = "fbDigital",
                              _xlfn.CONCAT("fbDigital ", F174, " ", F174, ".i_Raw"),
                              _xlfn.CONCAT("XIC Always_False OTE ", F174)),
                    IF(E174 = "DO",
                              _xlfn.CONCAT("XIC ", F174, " OTE Communication_Command_"),
                              IF(E174 = "AI",
                                        IF(J174 = "fbAnalog",
                                                  _xlfn.CONCAT("fbAnalog ", F174, " SysClock.o_NewDay 0 0 0.0"),
                                                  _xlfn.CONCAT("MOVE 0.0 ", F174)),
                                        IF(E174 = "AO",
                                                  _xlfn.CONCAT("MOVE ", F174, " Communication_Setpoint"),
                                                  "Set Type")))),
IF(E174 = "DI",
          IF(ISBLANK(F174),
                    _xlfn.CONCAT("XIC ", B174, ":", C174, ":I.Data.", D174, " NOP"),
                    IF(ISNUMBER(SEARCH("fbDigital", J174)),
                              _xlfn.CONCAT("fbDigital ", F174, " ", B174, ":", C174, ":I.Data.", D174),
                              _xlfn.CONCAT("XIC ", B174, ":", C174, ":I.Data.", D174, " OTE ", F174))),
IF(E174 = "DO",
          IF(ISBLANK(F174),
                    _xlfn.CONCAT("XIC ",B174, ":", C174, ":O.Data.", D174, " OTE ", B174, ":", C174, ":O.Data.", D174),
                    _xlfn.CONCAT("XIC ", F174, " OTE ", B174, ":", C174, ":O.Data.", D174)),
IF(E174 = "AI",
          IF(ISBLANK(F174),
                    "NOP",
                    IF(ISNUMBER(SEARCH("fbAnalog", J174)),
                              _xlfn.CONCAT("fbAnalog ", F174, " SysClock.o_NewDay ", B174, ":", C174, ":I.Ch[", D174, "].Fault 0 ", B174, ":", C174, ":I.Ch[", D174, "].Data"),
                              _xlfn.CONCAT("MOVE ", B174, ":", C174, ":I.Ch[", D174, "].Data ", F174))),
IF(E174 = "AO",
          IF(ISBLANK(F174),
                    "NOP",
                    _xlfn.CONCAT("MOVE ", F174, " ", B174, ":", C174, ":O.Ch[", D174, "].Data")),
"Set Rack and Type"))))))</f>
        <v>XIC Always_False OTE PL2_4227_052_VLV_0151_ZSC</v>
      </c>
    </row>
    <row r="175" spans="2:13" x14ac:dyDescent="0.25">
      <c r="B175" t="s">
        <v>1036</v>
      </c>
      <c r="E175" t="s">
        <v>5</v>
      </c>
      <c r="F175" t="s">
        <v>1635</v>
      </c>
      <c r="G175" t="s">
        <v>1211</v>
      </c>
      <c r="H175" s="22" t="s">
        <v>1624</v>
      </c>
      <c r="J175" t="s">
        <v>44</v>
      </c>
      <c r="K175" t="s">
        <v>1687</v>
      </c>
      <c r="L175"/>
      <c r="M175" s="18" t="str">
        <f>IF(B175 = "P2P",
          "Real P2P Condition",
IF(B175 = "Dummy P2P",
          IF(E175 = "DI",
                    IF(J175 = "fbDigital",
                              _xlfn.CONCAT("fbDigital ", F175, " ", F175, ".i_Raw"),
                              _xlfn.CONCAT("XIC Always_False OTE ", F175)),
                    IF(E175 = "DO",
                              _xlfn.CONCAT("XIC ", F175, " OTE Communication_Command_"),
                              IF(E175 = "AI",
                                        IF(J175 = "fbAnalog",
                                                  _xlfn.CONCAT("fbAnalog ", F175, " SysClock.o_NewDay 0 0 0.0"),
                                                  _xlfn.CONCAT("MOVE 0.0 ", F175)),
                                        IF(E175 = "AO",
                                                  _xlfn.CONCAT("MOVE ", F175, " Communication_Setpoint"),
                                                  "Set Type")))),
IF(E175 = "DI",
          IF(ISBLANK(F175),
                    _xlfn.CONCAT("XIC ", B175, ":", C175, ":I.Data.", D175, " NOP"),
                    IF(ISNUMBER(SEARCH("fbDigital", J175)),
                              _xlfn.CONCAT("fbDigital ", F175, " ", B175, ":", C175, ":I.Data.", D175),
                              _xlfn.CONCAT("XIC ", B175, ":", C175, ":I.Data.", D175, " OTE ", F175))),
IF(E175 = "DO",
          IF(ISBLANK(F175),
                    _xlfn.CONCAT("XIC ",B175, ":", C175, ":O.Data.", D175, " OTE ", B175, ":", C175, ":O.Data.", D175),
                    _xlfn.CONCAT("XIC ", F175, " OTE ", B175, ":", C175, ":O.Data.", D175)),
IF(E175 = "AI",
          IF(ISBLANK(F175),
                    "NOP",
                    IF(ISNUMBER(SEARCH("fbAnalog", J175)),
                              _xlfn.CONCAT("fbAnalog ", F175, " SysClock.o_NewDay ", B175, ":", C175, ":I.Ch[", D175, "].Fault 0 ", B175, ":", C175, ":I.Ch[", D175, "].Data"),
                              _xlfn.CONCAT("MOVE ", B175, ":", C175, ":I.Ch[", D175, "].Data ", F175))),
IF(E175 = "AO",
          IF(ISBLANK(F175),
                    "NOP",
                    _xlfn.CONCAT("MOVE ", F175, " ", B175, ":", C175, ":O.Ch[", D175, "].Data")),
"Set Rack and Type"))))))</f>
        <v>XIC Always_False OTE PL2_4227_052_VLV_0151_ZSO</v>
      </c>
    </row>
    <row r="176" spans="2:13" x14ac:dyDescent="0.25">
      <c r="B176" t="s">
        <v>1036</v>
      </c>
      <c r="E176" t="s">
        <v>5</v>
      </c>
      <c r="F176" t="s">
        <v>1342</v>
      </c>
      <c r="G176" t="s">
        <v>1220</v>
      </c>
      <c r="H176" t="s">
        <v>633</v>
      </c>
      <c r="J176" t="s">
        <v>44</v>
      </c>
      <c r="K176" t="s">
        <v>1688</v>
      </c>
      <c r="L176"/>
      <c r="M176" s="18" t="str">
        <f>IF(B176 = "P2P",
          "Real P2P Condition",
IF(B176 = "Dummy P2P",
          IF(E176 = "DI",
                    IF(J176 = "fbDigital",
                              _xlfn.CONCAT("fbDigital ", F176, " ", F176, ".i_Raw"),
                              _xlfn.CONCAT("XIC Always_False OTE ", F176)),
                    IF(E176 = "DO",
                              _xlfn.CONCAT("XIC ", F176, " OTE Communication_Command_"),
                              IF(E176 = "AI",
                                        IF(J176 = "fbAnalog",
                                                  _xlfn.CONCAT("fbAnalog ", F176, " SysClock.o_NewDay 0 0 0.0"),
                                                  _xlfn.CONCAT("MOVE 0.0 ", F176)),
                                        IF(E176 = "AO",
                                                  _xlfn.CONCAT("MOVE ", F176, " Communication_Setpoint"),
                                                  "Set Type")))),
IF(E176 = "DI",
          IF(ISBLANK(F176),
                    _xlfn.CONCAT("XIC ", B176, ":", C176, ":I.Data.", D176, " NOP"),
                    IF(ISNUMBER(SEARCH("fbDigital", J176)),
                              _xlfn.CONCAT("fbDigital ", F176, " ", B176, ":", C176, ":I.Data.", D176),
                              _xlfn.CONCAT("XIC ", B176, ":", C176, ":I.Data.", D176, " OTE ", F176))),
IF(E176 = "DO",
          IF(ISBLANK(F176),
                    _xlfn.CONCAT("XIC ",B176, ":", C176, ":O.Data.", D176, " OTE ", B176, ":", C176, ":O.Data.", D176),
                    _xlfn.CONCAT("XIC ", F176, " OTE ", B176, ":", C176, ":O.Data.", D176)),
IF(E176 = "AI",
          IF(ISBLANK(F176),
                    "NOP",
                    IF(ISNUMBER(SEARCH("fbAnalog", J176)),
                              _xlfn.CONCAT("fbAnalog ", F176, " SysClock.o_NewDay ", B176, ":", C176, ":I.Ch[", D176, "].Fault 0 ", B176, ":", C176, ":I.Ch[", D176, "].Data"),
                              _xlfn.CONCAT("MOVE ", B176, ":", C176, ":I.Ch[", D176, "].Data ", F176))),
IF(E176 = "AO",
          IF(ISBLANK(F176),
                    "NOP",
                    _xlfn.CONCAT("MOVE ", F176, " ", B176, ":", C176, ":O.Ch[", D176, "].Data")),
"Set Rack and Type"))))))</f>
        <v>XIC Always_False OTE PL2_4227_052_VLV_0152_YCI</v>
      </c>
    </row>
    <row r="177" spans="2:13" x14ac:dyDescent="0.25">
      <c r="B177" t="s">
        <v>1036</v>
      </c>
      <c r="E177" t="s">
        <v>5</v>
      </c>
      <c r="F177" t="s">
        <v>1651</v>
      </c>
      <c r="G177" t="s">
        <v>1220</v>
      </c>
      <c r="H177" s="22" t="s">
        <v>1623</v>
      </c>
      <c r="J177" t="s">
        <v>44</v>
      </c>
      <c r="K177" t="s">
        <v>1689</v>
      </c>
      <c r="L177"/>
      <c r="M177" s="18" t="str">
        <f>IF(B177 = "P2P",
          "Real P2P Condition",
IF(B177 = "Dummy P2P",
          IF(E177 = "DI",
                    IF(J177 = "fbDigital",
                              _xlfn.CONCAT("fbDigital ", F177, " ", F177, ".i_Raw"),
                              _xlfn.CONCAT("XIC Always_False OTE ", F177)),
                    IF(E177 = "DO",
                              _xlfn.CONCAT("XIC ", F177, " OTE Communication_Command_"),
                              IF(E177 = "AI",
                                        IF(J177 = "fbAnalog",
                                                  _xlfn.CONCAT("fbAnalog ", F177, " SysClock.o_NewDay 0 0 0.0"),
                                                  _xlfn.CONCAT("MOVE 0.0 ", F177)),
                                        IF(E177 = "AO",
                                                  _xlfn.CONCAT("MOVE ", F177, " Communication_Setpoint"),
                                                  "Set Type")))),
IF(E177 = "DI",
          IF(ISBLANK(F177),
                    _xlfn.CONCAT("XIC ", B177, ":", C177, ":I.Data.", D177, " NOP"),
                    IF(ISNUMBER(SEARCH("fbDigital", J177)),
                              _xlfn.CONCAT("fbDigital ", F177, " ", B177, ":", C177, ":I.Data.", D177),
                              _xlfn.CONCAT("XIC ", B177, ":", C177, ":I.Data.", D177, " OTE ", F177))),
IF(E177 = "DO",
          IF(ISBLANK(F177),
                    _xlfn.CONCAT("XIC ",B177, ":", C177, ":O.Data.", D177, " OTE ", B177, ":", C177, ":O.Data.", D177),
                    _xlfn.CONCAT("XIC ", F177, " OTE ", B177, ":", C177, ":O.Data.", D177)),
IF(E177 = "AI",
          IF(ISBLANK(F177),
                    "NOP",
                    IF(ISNUMBER(SEARCH("fbAnalog", J177)),
                              _xlfn.CONCAT("fbAnalog ", F177, " SysClock.o_NewDay ", B177, ":", C177, ":I.Ch[", D177, "].Fault 0 ", B177, ":", C177, ":I.Ch[", D177, "].Data"),
                              _xlfn.CONCAT("MOVE ", B177, ":", C177, ":I.Ch[", D177, "].Data ", F177))),
IF(E177 = "AO",
          IF(ISBLANK(F177),
                    "NOP",
                    _xlfn.CONCAT("MOVE ", F177, " ", B177, ":", C177, ":O.Ch[", D177, "].Data")),
"Set Rack and Type"))))))</f>
        <v>XIC Always_False OTE PL2_4227_052_VLV_0152_ZSC</v>
      </c>
    </row>
    <row r="178" spans="2:13" x14ac:dyDescent="0.25">
      <c r="B178" t="s">
        <v>1036</v>
      </c>
      <c r="E178" t="s">
        <v>5</v>
      </c>
      <c r="F178" t="s">
        <v>1636</v>
      </c>
      <c r="G178" t="s">
        <v>1220</v>
      </c>
      <c r="H178" s="22" t="s">
        <v>1624</v>
      </c>
      <c r="J178" t="s">
        <v>44</v>
      </c>
      <c r="K178" t="s">
        <v>1690</v>
      </c>
      <c r="L178"/>
      <c r="M178" s="18" t="str">
        <f>IF(B178 = "P2P",
          "Real P2P Condition",
IF(B178 = "Dummy P2P",
          IF(E178 = "DI",
                    IF(J178 = "fbDigital",
                              _xlfn.CONCAT("fbDigital ", F178, " ", F178, ".i_Raw"),
                              _xlfn.CONCAT("XIC Always_False OTE ", F178)),
                    IF(E178 = "DO",
                              _xlfn.CONCAT("XIC ", F178, " OTE Communication_Command_"),
                              IF(E178 = "AI",
                                        IF(J178 = "fbAnalog",
                                                  _xlfn.CONCAT("fbAnalog ", F178, " SysClock.o_NewDay 0 0 0.0"),
                                                  _xlfn.CONCAT("MOVE 0.0 ", F178)),
                                        IF(E178 = "AO",
                                                  _xlfn.CONCAT("MOVE ", F178, " Communication_Setpoint"),
                                                  "Set Type")))),
IF(E178 = "DI",
          IF(ISBLANK(F178),
                    _xlfn.CONCAT("XIC ", B178, ":", C178, ":I.Data.", D178, " NOP"),
                    IF(ISNUMBER(SEARCH("fbDigital", J178)),
                              _xlfn.CONCAT("fbDigital ", F178, " ", B178, ":", C178, ":I.Data.", D178),
                              _xlfn.CONCAT("XIC ", B178, ":", C178, ":I.Data.", D178, " OTE ", F178))),
IF(E178 = "DO",
          IF(ISBLANK(F178),
                    _xlfn.CONCAT("XIC ",B178, ":", C178, ":O.Data.", D178, " OTE ", B178, ":", C178, ":O.Data.", D178),
                    _xlfn.CONCAT("XIC ", F178, " OTE ", B178, ":", C178, ":O.Data.", D178)),
IF(E178 = "AI",
          IF(ISBLANK(F178),
                    "NOP",
                    IF(ISNUMBER(SEARCH("fbAnalog", J178)),
                              _xlfn.CONCAT("fbAnalog ", F178, " SysClock.o_NewDay ", B178, ":", C178, ":I.Ch[", D178, "].Fault 0 ", B178, ":", C178, ":I.Ch[", D178, "].Data"),
                              _xlfn.CONCAT("MOVE ", B178, ":", C178, ":I.Ch[", D178, "].Data ", F178))),
IF(E178 = "AO",
          IF(ISBLANK(F178),
                    "NOP",
                    _xlfn.CONCAT("MOVE ", F178, " ", B178, ":", C178, ":O.Ch[", D178, "].Data")),
"Set Rack and Type"))))))</f>
        <v>XIC Always_False OTE PL2_4227_052_VLV_0152_ZSO</v>
      </c>
    </row>
    <row r="179" spans="2:13" x14ac:dyDescent="0.25">
      <c r="B179" t="s">
        <v>1036</v>
      </c>
      <c r="E179" t="s">
        <v>5</v>
      </c>
      <c r="F179" t="s">
        <v>1343</v>
      </c>
      <c r="G179" t="s">
        <v>1212</v>
      </c>
      <c r="H179" t="s">
        <v>633</v>
      </c>
      <c r="J179" t="s">
        <v>44</v>
      </c>
      <c r="K179" t="s">
        <v>1691</v>
      </c>
      <c r="L179"/>
      <c r="M179" s="18" t="str">
        <f>IF(B179 = "P2P",
          "Real P2P Condition",
IF(B179 = "Dummy P2P",
          IF(E179 = "DI",
                    IF(J179 = "fbDigital",
                              _xlfn.CONCAT("fbDigital ", F179, " ", F179, ".i_Raw"),
                              _xlfn.CONCAT("XIC Always_False OTE ", F179)),
                    IF(E179 = "DO",
                              _xlfn.CONCAT("XIC ", F179, " OTE Communication_Command_"),
                              IF(E179 = "AI",
                                        IF(J179 = "fbAnalog",
                                                  _xlfn.CONCAT("fbAnalog ", F179, " SysClock.o_NewDay 0 0 0.0"),
                                                  _xlfn.CONCAT("MOVE 0.0 ", F179)),
                                        IF(E179 = "AO",
                                                  _xlfn.CONCAT("MOVE ", F179, " Communication_Setpoint"),
                                                  "Set Type")))),
IF(E179 = "DI",
          IF(ISBLANK(F179),
                    _xlfn.CONCAT("XIC ", B179, ":", C179, ":I.Data.", D179, " NOP"),
                    IF(ISNUMBER(SEARCH("fbDigital", J179)),
                              _xlfn.CONCAT("fbDigital ", F179, " ", B179, ":", C179, ":I.Data.", D179),
                              _xlfn.CONCAT("XIC ", B179, ":", C179, ":I.Data.", D179, " OTE ", F179))),
IF(E179 = "DO",
          IF(ISBLANK(F179),
                    _xlfn.CONCAT("XIC ",B179, ":", C179, ":O.Data.", D179, " OTE ", B179, ":", C179, ":O.Data.", D179),
                    _xlfn.CONCAT("XIC ", F179, " OTE ", B179, ":", C179, ":O.Data.", D179)),
IF(E179 = "AI",
          IF(ISBLANK(F179),
                    "NOP",
                    IF(ISNUMBER(SEARCH("fbAnalog", J179)),
                              _xlfn.CONCAT("fbAnalog ", F179, " SysClock.o_NewDay ", B179, ":", C179, ":I.Ch[", D179, "].Fault 0 ", B179, ":", C179, ":I.Ch[", D179, "].Data"),
                              _xlfn.CONCAT("MOVE ", B179, ":", C179, ":I.Ch[", D179, "].Data ", F179))),
IF(E179 = "AO",
          IF(ISBLANK(F179),
                    "NOP",
                    _xlfn.CONCAT("MOVE ", F179, " ", B179, ":", C179, ":O.Ch[", D179, "].Data")),
"Set Rack and Type"))))))</f>
        <v>XIC Always_False OTE PL2_4227_052_VLV_0153_YCI</v>
      </c>
    </row>
    <row r="180" spans="2:13" x14ac:dyDescent="0.25">
      <c r="B180" t="s">
        <v>1036</v>
      </c>
      <c r="E180" t="s">
        <v>5</v>
      </c>
      <c r="F180" t="s">
        <v>1652</v>
      </c>
      <c r="G180" t="s">
        <v>1212</v>
      </c>
      <c r="H180" s="22" t="s">
        <v>1623</v>
      </c>
      <c r="J180" t="s">
        <v>44</v>
      </c>
      <c r="K180" t="s">
        <v>1692</v>
      </c>
      <c r="L180"/>
      <c r="M180" s="18" t="str">
        <f>IF(B180 = "P2P",
          "Real P2P Condition",
IF(B180 = "Dummy P2P",
          IF(E180 = "DI",
                    IF(J180 = "fbDigital",
                              _xlfn.CONCAT("fbDigital ", F180, " ", F180, ".i_Raw"),
                              _xlfn.CONCAT("XIC Always_False OTE ", F180)),
                    IF(E180 = "DO",
                              _xlfn.CONCAT("XIC ", F180, " OTE Communication_Command_"),
                              IF(E180 = "AI",
                                        IF(J180 = "fbAnalog",
                                                  _xlfn.CONCAT("fbAnalog ", F180, " SysClock.o_NewDay 0 0 0.0"),
                                                  _xlfn.CONCAT("MOVE 0.0 ", F180)),
                                        IF(E180 = "AO",
                                                  _xlfn.CONCAT("MOVE ", F180, " Communication_Setpoint"),
                                                  "Set Type")))),
IF(E180 = "DI",
          IF(ISBLANK(F180),
                    _xlfn.CONCAT("XIC ", B180, ":", C180, ":I.Data.", D180, " NOP"),
                    IF(ISNUMBER(SEARCH("fbDigital", J180)),
                              _xlfn.CONCAT("fbDigital ", F180, " ", B180, ":", C180, ":I.Data.", D180),
                              _xlfn.CONCAT("XIC ", B180, ":", C180, ":I.Data.", D180, " OTE ", F180))),
IF(E180 = "DO",
          IF(ISBLANK(F180),
                    _xlfn.CONCAT("XIC ",B180, ":", C180, ":O.Data.", D180, " OTE ", B180, ":", C180, ":O.Data.", D180),
                    _xlfn.CONCAT("XIC ", F180, " OTE ", B180, ":", C180, ":O.Data.", D180)),
IF(E180 = "AI",
          IF(ISBLANK(F180),
                    "NOP",
                    IF(ISNUMBER(SEARCH("fbAnalog", J180)),
                              _xlfn.CONCAT("fbAnalog ", F180, " SysClock.o_NewDay ", B180, ":", C180, ":I.Ch[", D180, "].Fault 0 ", B180, ":", C180, ":I.Ch[", D180, "].Data"),
                              _xlfn.CONCAT("MOVE ", B180, ":", C180, ":I.Ch[", D180, "].Data ", F180))),
IF(E180 = "AO",
          IF(ISBLANK(F180),
                    "NOP",
                    _xlfn.CONCAT("MOVE ", F180, " ", B180, ":", C180, ":O.Ch[", D180, "].Data")),
"Set Rack and Type"))))))</f>
        <v>XIC Always_False OTE PL2_4227_052_VLV_0153_ZSC</v>
      </c>
    </row>
    <row r="181" spans="2:13" x14ac:dyDescent="0.25">
      <c r="B181" t="s">
        <v>1036</v>
      </c>
      <c r="E181" t="s">
        <v>5</v>
      </c>
      <c r="F181" t="s">
        <v>1637</v>
      </c>
      <c r="G181" t="s">
        <v>1212</v>
      </c>
      <c r="H181" s="22" t="s">
        <v>1624</v>
      </c>
      <c r="J181" t="s">
        <v>44</v>
      </c>
      <c r="K181" t="s">
        <v>1693</v>
      </c>
      <c r="L181"/>
      <c r="M181" s="18" t="str">
        <f>IF(B181 = "P2P",
          "Real P2P Condition",
IF(B181 = "Dummy P2P",
          IF(E181 = "DI",
                    IF(J181 = "fbDigital",
                              _xlfn.CONCAT("fbDigital ", F181, " ", F181, ".i_Raw"),
                              _xlfn.CONCAT("XIC Always_False OTE ", F181)),
                    IF(E181 = "DO",
                              _xlfn.CONCAT("XIC ", F181, " OTE Communication_Command_"),
                              IF(E181 = "AI",
                                        IF(J181 = "fbAnalog",
                                                  _xlfn.CONCAT("fbAnalog ", F181, " SysClock.o_NewDay 0 0 0.0"),
                                                  _xlfn.CONCAT("MOVE 0.0 ", F181)),
                                        IF(E181 = "AO",
                                                  _xlfn.CONCAT("MOVE ", F181, " Communication_Setpoint"),
                                                  "Set Type")))),
IF(E181 = "DI",
          IF(ISBLANK(F181),
                    _xlfn.CONCAT("XIC ", B181, ":", C181, ":I.Data.", D181, " NOP"),
                    IF(ISNUMBER(SEARCH("fbDigital", J181)),
                              _xlfn.CONCAT("fbDigital ", F181, " ", B181, ":", C181, ":I.Data.", D181),
                              _xlfn.CONCAT("XIC ", B181, ":", C181, ":I.Data.", D181, " OTE ", F181))),
IF(E181 = "DO",
          IF(ISBLANK(F181),
                    _xlfn.CONCAT("XIC ",B181, ":", C181, ":O.Data.", D181, " OTE ", B181, ":", C181, ":O.Data.", D181),
                    _xlfn.CONCAT("XIC ", F181, " OTE ", B181, ":", C181, ":O.Data.", D181)),
IF(E181 = "AI",
          IF(ISBLANK(F181),
                    "NOP",
                    IF(ISNUMBER(SEARCH("fbAnalog", J181)),
                              _xlfn.CONCAT("fbAnalog ", F181, " SysClock.o_NewDay ", B181, ":", C181, ":I.Ch[", D181, "].Fault 0 ", B181, ":", C181, ":I.Ch[", D181, "].Data"),
                              _xlfn.CONCAT("MOVE ", B181, ":", C181, ":I.Ch[", D181, "].Data ", F181))),
IF(E181 = "AO",
          IF(ISBLANK(F181),
                    "NOP",
                    _xlfn.CONCAT("MOVE ", F181, " ", B181, ":", C181, ":O.Ch[", D181, "].Data")),
"Set Rack and Type"))))))</f>
        <v>XIC Always_False OTE PL2_4227_052_VLV_0153_ZSO</v>
      </c>
    </row>
    <row r="182" spans="2:13" x14ac:dyDescent="0.25">
      <c r="B182" t="s">
        <v>1036</v>
      </c>
      <c r="E182" t="s">
        <v>5</v>
      </c>
      <c r="F182" t="s">
        <v>1344</v>
      </c>
      <c r="G182" t="s">
        <v>1221</v>
      </c>
      <c r="H182" t="s">
        <v>633</v>
      </c>
      <c r="J182" t="s">
        <v>44</v>
      </c>
      <c r="K182" t="s">
        <v>1694</v>
      </c>
      <c r="L182"/>
      <c r="M182" s="18" t="str">
        <f>IF(B182 = "P2P",
          "Real P2P Condition",
IF(B182 = "Dummy P2P",
          IF(E182 = "DI",
                    IF(J182 = "fbDigital",
                              _xlfn.CONCAT("fbDigital ", F182, " ", F182, ".i_Raw"),
                              _xlfn.CONCAT("XIC Always_False OTE ", F182)),
                    IF(E182 = "DO",
                              _xlfn.CONCAT("XIC ", F182, " OTE Communication_Command_"),
                              IF(E182 = "AI",
                                        IF(J182 = "fbAnalog",
                                                  _xlfn.CONCAT("fbAnalog ", F182, " SysClock.o_NewDay 0 0 0.0"),
                                                  _xlfn.CONCAT("MOVE 0.0 ", F182)),
                                        IF(E182 = "AO",
                                                  _xlfn.CONCAT("MOVE ", F182, " Communication_Setpoint"),
                                                  "Set Type")))),
IF(E182 = "DI",
          IF(ISBLANK(F182),
                    _xlfn.CONCAT("XIC ", B182, ":", C182, ":I.Data.", D182, " NOP"),
                    IF(ISNUMBER(SEARCH("fbDigital", J182)),
                              _xlfn.CONCAT("fbDigital ", F182, " ", B182, ":", C182, ":I.Data.", D182),
                              _xlfn.CONCAT("XIC ", B182, ":", C182, ":I.Data.", D182, " OTE ", F182))),
IF(E182 = "DO",
          IF(ISBLANK(F182),
                    _xlfn.CONCAT("XIC ",B182, ":", C182, ":O.Data.", D182, " OTE ", B182, ":", C182, ":O.Data.", D182),
                    _xlfn.CONCAT("XIC ", F182, " OTE ", B182, ":", C182, ":O.Data.", D182)),
IF(E182 = "AI",
          IF(ISBLANK(F182),
                    "NOP",
                    IF(ISNUMBER(SEARCH("fbAnalog", J182)),
                              _xlfn.CONCAT("fbAnalog ", F182, " SysClock.o_NewDay ", B182, ":", C182, ":I.Ch[", D182, "].Fault 0 ", B182, ":", C182, ":I.Ch[", D182, "].Data"),
                              _xlfn.CONCAT("MOVE ", B182, ":", C182, ":I.Ch[", D182, "].Data ", F182))),
IF(E182 = "AO",
          IF(ISBLANK(F182),
                    "NOP",
                    _xlfn.CONCAT("MOVE ", F182, " ", B182, ":", C182, ":O.Ch[", D182, "].Data")),
"Set Rack and Type"))))))</f>
        <v>XIC Always_False OTE PL2_4227_052_VLV_0154_YCI</v>
      </c>
    </row>
    <row r="183" spans="2:13" x14ac:dyDescent="0.25">
      <c r="B183" t="s">
        <v>1036</v>
      </c>
      <c r="E183" t="s">
        <v>5</v>
      </c>
      <c r="F183" t="s">
        <v>1653</v>
      </c>
      <c r="G183" t="s">
        <v>1221</v>
      </c>
      <c r="H183" s="22" t="s">
        <v>1623</v>
      </c>
      <c r="J183" t="s">
        <v>44</v>
      </c>
      <c r="K183" t="s">
        <v>1695</v>
      </c>
      <c r="L183"/>
      <c r="M183" s="18" t="str">
        <f>IF(B183 = "P2P",
          "Real P2P Condition",
IF(B183 = "Dummy P2P",
          IF(E183 = "DI",
                    IF(J183 = "fbDigital",
                              _xlfn.CONCAT("fbDigital ", F183, " ", F183, ".i_Raw"),
                              _xlfn.CONCAT("XIC Always_False OTE ", F183)),
                    IF(E183 = "DO",
                              _xlfn.CONCAT("XIC ", F183, " OTE Communication_Command_"),
                              IF(E183 = "AI",
                                        IF(J183 = "fbAnalog",
                                                  _xlfn.CONCAT("fbAnalog ", F183, " SysClock.o_NewDay 0 0 0.0"),
                                                  _xlfn.CONCAT("MOVE 0.0 ", F183)),
                                        IF(E183 = "AO",
                                                  _xlfn.CONCAT("MOVE ", F183, " Communication_Setpoint"),
                                                  "Set Type")))),
IF(E183 = "DI",
          IF(ISBLANK(F183),
                    _xlfn.CONCAT("XIC ", B183, ":", C183, ":I.Data.", D183, " NOP"),
                    IF(ISNUMBER(SEARCH("fbDigital", J183)),
                              _xlfn.CONCAT("fbDigital ", F183, " ", B183, ":", C183, ":I.Data.", D183),
                              _xlfn.CONCAT("XIC ", B183, ":", C183, ":I.Data.", D183, " OTE ", F183))),
IF(E183 = "DO",
          IF(ISBLANK(F183),
                    _xlfn.CONCAT("XIC ",B183, ":", C183, ":O.Data.", D183, " OTE ", B183, ":", C183, ":O.Data.", D183),
                    _xlfn.CONCAT("XIC ", F183, " OTE ", B183, ":", C183, ":O.Data.", D183)),
IF(E183 = "AI",
          IF(ISBLANK(F183),
                    "NOP",
                    IF(ISNUMBER(SEARCH("fbAnalog", J183)),
                              _xlfn.CONCAT("fbAnalog ", F183, " SysClock.o_NewDay ", B183, ":", C183, ":I.Ch[", D183, "].Fault 0 ", B183, ":", C183, ":I.Ch[", D183, "].Data"),
                              _xlfn.CONCAT("MOVE ", B183, ":", C183, ":I.Ch[", D183, "].Data ", F183))),
IF(E183 = "AO",
          IF(ISBLANK(F183),
                    "NOP",
                    _xlfn.CONCAT("MOVE ", F183, " ", B183, ":", C183, ":O.Ch[", D183, "].Data")),
"Set Rack and Type"))))))</f>
        <v>XIC Always_False OTE PL2_4227_052_VLV_0154_ZSC</v>
      </c>
    </row>
    <row r="184" spans="2:13" x14ac:dyDescent="0.25">
      <c r="B184" t="s">
        <v>1036</v>
      </c>
      <c r="E184" t="s">
        <v>5</v>
      </c>
      <c r="F184" t="s">
        <v>1638</v>
      </c>
      <c r="G184" t="s">
        <v>1221</v>
      </c>
      <c r="H184" s="22" t="s">
        <v>1624</v>
      </c>
      <c r="J184" t="s">
        <v>44</v>
      </c>
      <c r="K184" t="s">
        <v>1696</v>
      </c>
      <c r="L184"/>
      <c r="M184" s="18" t="str">
        <f>IF(B184 = "P2P",
          "Real P2P Condition",
IF(B184 = "Dummy P2P",
          IF(E184 = "DI",
                    IF(J184 = "fbDigital",
                              _xlfn.CONCAT("fbDigital ", F184, " ", F184, ".i_Raw"),
                              _xlfn.CONCAT("XIC Always_False OTE ", F184)),
                    IF(E184 = "DO",
                              _xlfn.CONCAT("XIC ", F184, " OTE Communication_Command_"),
                              IF(E184 = "AI",
                                        IF(J184 = "fbAnalog",
                                                  _xlfn.CONCAT("fbAnalog ", F184, " SysClock.o_NewDay 0 0 0.0"),
                                                  _xlfn.CONCAT("MOVE 0.0 ", F184)),
                                        IF(E184 = "AO",
                                                  _xlfn.CONCAT("MOVE ", F184, " Communication_Setpoint"),
                                                  "Set Type")))),
IF(E184 = "DI",
          IF(ISBLANK(F184),
                    _xlfn.CONCAT("XIC ", B184, ":", C184, ":I.Data.", D184, " NOP"),
                    IF(ISNUMBER(SEARCH("fbDigital", J184)),
                              _xlfn.CONCAT("fbDigital ", F184, " ", B184, ":", C184, ":I.Data.", D184),
                              _xlfn.CONCAT("XIC ", B184, ":", C184, ":I.Data.", D184, " OTE ", F184))),
IF(E184 = "DO",
          IF(ISBLANK(F184),
                    _xlfn.CONCAT("XIC ",B184, ":", C184, ":O.Data.", D184, " OTE ", B184, ":", C184, ":O.Data.", D184),
                    _xlfn.CONCAT("XIC ", F184, " OTE ", B184, ":", C184, ":O.Data.", D184)),
IF(E184 = "AI",
          IF(ISBLANK(F184),
                    "NOP",
                    IF(ISNUMBER(SEARCH("fbAnalog", J184)),
                              _xlfn.CONCAT("fbAnalog ", F184, " SysClock.o_NewDay ", B184, ":", C184, ":I.Ch[", D184, "].Fault 0 ", B184, ":", C184, ":I.Ch[", D184, "].Data"),
                              _xlfn.CONCAT("MOVE ", B184, ":", C184, ":I.Ch[", D184, "].Data ", F184))),
IF(E184 = "AO",
          IF(ISBLANK(F184),
                    "NOP",
                    _xlfn.CONCAT("MOVE ", F184, " ", B184, ":", C184, ":O.Ch[", D184, "].Data")),
"Set Rack and Type"))))))</f>
        <v>XIC Always_False OTE PL2_4227_052_VLV_0154_ZSO</v>
      </c>
    </row>
    <row r="185" spans="2:13" x14ac:dyDescent="0.25">
      <c r="B185" t="s">
        <v>1036</v>
      </c>
      <c r="E185" t="s">
        <v>5</v>
      </c>
      <c r="F185" t="s">
        <v>1345</v>
      </c>
      <c r="G185" t="s">
        <v>1213</v>
      </c>
      <c r="H185" t="s">
        <v>633</v>
      </c>
      <c r="J185" t="s">
        <v>44</v>
      </c>
      <c r="K185" t="s">
        <v>1697</v>
      </c>
      <c r="L185"/>
      <c r="M185" s="18" t="str">
        <f>IF(B185 = "P2P",
          "Real P2P Condition",
IF(B185 = "Dummy P2P",
          IF(E185 = "DI",
                    IF(J185 = "fbDigital",
                              _xlfn.CONCAT("fbDigital ", F185, " ", F185, ".i_Raw"),
                              _xlfn.CONCAT("XIC Always_False OTE ", F185)),
                    IF(E185 = "DO",
                              _xlfn.CONCAT("XIC ", F185, " OTE Communication_Command_"),
                              IF(E185 = "AI",
                                        IF(J185 = "fbAnalog",
                                                  _xlfn.CONCAT("fbAnalog ", F185, " SysClock.o_NewDay 0 0 0.0"),
                                                  _xlfn.CONCAT("MOVE 0.0 ", F185)),
                                        IF(E185 = "AO",
                                                  _xlfn.CONCAT("MOVE ", F185, " Communication_Setpoint"),
                                                  "Set Type")))),
IF(E185 = "DI",
          IF(ISBLANK(F185),
                    _xlfn.CONCAT("XIC ", B185, ":", C185, ":I.Data.", D185, " NOP"),
                    IF(ISNUMBER(SEARCH("fbDigital", J185)),
                              _xlfn.CONCAT("fbDigital ", F185, " ", B185, ":", C185, ":I.Data.", D185),
                              _xlfn.CONCAT("XIC ", B185, ":", C185, ":I.Data.", D185, " OTE ", F185))),
IF(E185 = "DO",
          IF(ISBLANK(F185),
                    _xlfn.CONCAT("XIC ",B185, ":", C185, ":O.Data.", D185, " OTE ", B185, ":", C185, ":O.Data.", D185),
                    _xlfn.CONCAT("XIC ", F185, " OTE ", B185, ":", C185, ":O.Data.", D185)),
IF(E185 = "AI",
          IF(ISBLANK(F185),
                    "NOP",
                    IF(ISNUMBER(SEARCH("fbAnalog", J185)),
                              _xlfn.CONCAT("fbAnalog ", F185, " SysClock.o_NewDay ", B185, ":", C185, ":I.Ch[", D185, "].Fault 0 ", B185, ":", C185, ":I.Ch[", D185, "].Data"),
                              _xlfn.CONCAT("MOVE ", B185, ":", C185, ":I.Ch[", D185, "].Data ", F185))),
IF(E185 = "AO",
          IF(ISBLANK(F185),
                    "NOP",
                    _xlfn.CONCAT("MOVE ", F185, " ", B185, ":", C185, ":O.Ch[", D185, "].Data")),
"Set Rack and Type"))))))</f>
        <v>XIC Always_False OTE PL2_4227_052_VLV_0155_YCI</v>
      </c>
    </row>
    <row r="186" spans="2:13" x14ac:dyDescent="0.25">
      <c r="B186" t="s">
        <v>1036</v>
      </c>
      <c r="E186" t="s">
        <v>5</v>
      </c>
      <c r="F186" t="s">
        <v>1654</v>
      </c>
      <c r="G186" t="s">
        <v>1213</v>
      </c>
      <c r="H186" s="22" t="s">
        <v>1623</v>
      </c>
      <c r="J186" t="s">
        <v>44</v>
      </c>
      <c r="K186" t="s">
        <v>1698</v>
      </c>
      <c r="L186"/>
      <c r="M186" s="18" t="str">
        <f>IF(B186 = "P2P",
          "Real P2P Condition",
IF(B186 = "Dummy P2P",
          IF(E186 = "DI",
                    IF(J186 = "fbDigital",
                              _xlfn.CONCAT("fbDigital ", F186, " ", F186, ".i_Raw"),
                              _xlfn.CONCAT("XIC Always_False OTE ", F186)),
                    IF(E186 = "DO",
                              _xlfn.CONCAT("XIC ", F186, " OTE Communication_Command_"),
                              IF(E186 = "AI",
                                        IF(J186 = "fbAnalog",
                                                  _xlfn.CONCAT("fbAnalog ", F186, " SysClock.o_NewDay 0 0 0.0"),
                                                  _xlfn.CONCAT("MOVE 0.0 ", F186)),
                                        IF(E186 = "AO",
                                                  _xlfn.CONCAT("MOVE ", F186, " Communication_Setpoint"),
                                                  "Set Type")))),
IF(E186 = "DI",
          IF(ISBLANK(F186),
                    _xlfn.CONCAT("XIC ", B186, ":", C186, ":I.Data.", D186, " NOP"),
                    IF(ISNUMBER(SEARCH("fbDigital", J186)),
                              _xlfn.CONCAT("fbDigital ", F186, " ", B186, ":", C186, ":I.Data.", D186),
                              _xlfn.CONCAT("XIC ", B186, ":", C186, ":I.Data.", D186, " OTE ", F186))),
IF(E186 = "DO",
          IF(ISBLANK(F186),
                    _xlfn.CONCAT("XIC ",B186, ":", C186, ":O.Data.", D186, " OTE ", B186, ":", C186, ":O.Data.", D186),
                    _xlfn.CONCAT("XIC ", F186, " OTE ", B186, ":", C186, ":O.Data.", D186)),
IF(E186 = "AI",
          IF(ISBLANK(F186),
                    "NOP",
                    IF(ISNUMBER(SEARCH("fbAnalog", J186)),
                              _xlfn.CONCAT("fbAnalog ", F186, " SysClock.o_NewDay ", B186, ":", C186, ":I.Ch[", D186, "].Fault 0 ", B186, ":", C186, ":I.Ch[", D186, "].Data"),
                              _xlfn.CONCAT("MOVE ", B186, ":", C186, ":I.Ch[", D186, "].Data ", F186))),
IF(E186 = "AO",
          IF(ISBLANK(F186),
                    "NOP",
                    _xlfn.CONCAT("MOVE ", F186, " ", B186, ":", C186, ":O.Ch[", D186, "].Data")),
"Set Rack and Type"))))))</f>
        <v>XIC Always_False OTE PL2_4227_052_VLV_0155_ZSC</v>
      </c>
    </row>
    <row r="187" spans="2:13" x14ac:dyDescent="0.25">
      <c r="B187" t="s">
        <v>1036</v>
      </c>
      <c r="E187" t="s">
        <v>5</v>
      </c>
      <c r="F187" t="s">
        <v>1639</v>
      </c>
      <c r="G187" t="s">
        <v>1213</v>
      </c>
      <c r="H187" s="22" t="s">
        <v>1624</v>
      </c>
      <c r="J187" t="s">
        <v>44</v>
      </c>
      <c r="K187" t="s">
        <v>1699</v>
      </c>
      <c r="L187"/>
      <c r="M187" s="18" t="str">
        <f>IF(B187 = "P2P",
          "Real P2P Condition",
IF(B187 = "Dummy P2P",
          IF(E187 = "DI",
                    IF(J187 = "fbDigital",
                              _xlfn.CONCAT("fbDigital ", F187, " ", F187, ".i_Raw"),
                              _xlfn.CONCAT("XIC Always_False OTE ", F187)),
                    IF(E187 = "DO",
                              _xlfn.CONCAT("XIC ", F187, " OTE Communication_Command_"),
                              IF(E187 = "AI",
                                        IF(J187 = "fbAnalog",
                                                  _xlfn.CONCAT("fbAnalog ", F187, " SysClock.o_NewDay 0 0 0.0"),
                                                  _xlfn.CONCAT("MOVE 0.0 ", F187)),
                                        IF(E187 = "AO",
                                                  _xlfn.CONCAT("MOVE ", F187, " Communication_Setpoint"),
                                                  "Set Type")))),
IF(E187 = "DI",
          IF(ISBLANK(F187),
                    _xlfn.CONCAT("XIC ", B187, ":", C187, ":I.Data.", D187, " NOP"),
                    IF(ISNUMBER(SEARCH("fbDigital", J187)),
                              _xlfn.CONCAT("fbDigital ", F187, " ", B187, ":", C187, ":I.Data.", D187),
                              _xlfn.CONCAT("XIC ", B187, ":", C187, ":I.Data.", D187, " OTE ", F187))),
IF(E187 = "DO",
          IF(ISBLANK(F187),
                    _xlfn.CONCAT("XIC ",B187, ":", C187, ":O.Data.", D187, " OTE ", B187, ":", C187, ":O.Data.", D187),
                    _xlfn.CONCAT("XIC ", F187, " OTE ", B187, ":", C187, ":O.Data.", D187)),
IF(E187 = "AI",
          IF(ISBLANK(F187),
                    "NOP",
                    IF(ISNUMBER(SEARCH("fbAnalog", J187)),
                              _xlfn.CONCAT("fbAnalog ", F187, " SysClock.o_NewDay ", B187, ":", C187, ":I.Ch[", D187, "].Fault 0 ", B187, ":", C187, ":I.Ch[", D187, "].Data"),
                              _xlfn.CONCAT("MOVE ", B187, ":", C187, ":I.Ch[", D187, "].Data ", F187))),
IF(E187 = "AO",
          IF(ISBLANK(F187),
                    "NOP",
                    _xlfn.CONCAT("MOVE ", F187, " ", B187, ":", C187, ":O.Ch[", D187, "].Data")),
"Set Rack and Type"))))))</f>
        <v>XIC Always_False OTE PL2_4227_052_VLV_0155_ZSO</v>
      </c>
    </row>
    <row r="188" spans="2:13" x14ac:dyDescent="0.25">
      <c r="L188"/>
      <c r="M188"/>
    </row>
    <row r="189" spans="2:13" x14ac:dyDescent="0.25">
      <c r="M189" s="18"/>
    </row>
    <row r="190" spans="2:13" x14ac:dyDescent="0.25">
      <c r="B190" t="s">
        <v>1036</v>
      </c>
      <c r="E190" t="s">
        <v>7</v>
      </c>
      <c r="F190" t="s">
        <v>1039</v>
      </c>
      <c r="G190" t="s">
        <v>1081</v>
      </c>
      <c r="H190" s="22" t="s">
        <v>1082</v>
      </c>
      <c r="I190" s="22"/>
      <c r="J190" t="s">
        <v>631</v>
      </c>
      <c r="M190" s="18" t="str">
        <f t="shared" si="5"/>
        <v>fbAnalog PL2_4228_452_PDIT_0221 SysClock.o_NewDay 0 0 0.0</v>
      </c>
    </row>
    <row r="191" spans="2:13" x14ac:dyDescent="0.25">
      <c r="B191" t="s">
        <v>1036</v>
      </c>
      <c r="E191" t="s">
        <v>7</v>
      </c>
      <c r="F191" t="s">
        <v>1040</v>
      </c>
      <c r="G191" t="s">
        <v>1081</v>
      </c>
      <c r="H191" s="22" t="s">
        <v>1083</v>
      </c>
      <c r="I191" s="22"/>
      <c r="J191" t="s">
        <v>631</v>
      </c>
      <c r="M191" s="18" t="str">
        <f t="shared" si="5"/>
        <v>fbAnalog PL2_4228_452_TIT_0221 SysClock.o_NewDay 0 0 0.0</v>
      </c>
    </row>
    <row r="192" spans="2:13" x14ac:dyDescent="0.25">
      <c r="B192" t="s">
        <v>1036</v>
      </c>
      <c r="E192" t="s">
        <v>7</v>
      </c>
      <c r="F192" t="s">
        <v>1041</v>
      </c>
      <c r="G192" t="s">
        <v>1081</v>
      </c>
      <c r="H192" s="22" t="s">
        <v>1084</v>
      </c>
      <c r="I192" s="22"/>
      <c r="J192" t="s">
        <v>631</v>
      </c>
      <c r="M192" s="18" t="str">
        <f t="shared" si="5"/>
        <v>fbAnalog PL2_4228_452_AIT_0221_MI SysClock.o_NewDay 0 0 0.0</v>
      </c>
    </row>
    <row r="193" spans="2:13" x14ac:dyDescent="0.25">
      <c r="B193" t="s">
        <v>1036</v>
      </c>
      <c r="E193" t="s">
        <v>7</v>
      </c>
      <c r="F193" t="s">
        <v>1046</v>
      </c>
      <c r="G193" t="s">
        <v>1085</v>
      </c>
      <c r="H193" s="22" t="s">
        <v>1082</v>
      </c>
      <c r="I193" s="22"/>
      <c r="J193" t="s">
        <v>631</v>
      </c>
      <c r="M193" s="18" t="str">
        <f t="shared" si="5"/>
        <v>fbAnalog PL2_4228_452_PDIT_0241 SysClock.o_NewDay 0 0 0.0</v>
      </c>
    </row>
    <row r="194" spans="2:13" x14ac:dyDescent="0.25">
      <c r="B194" t="s">
        <v>1036</v>
      </c>
      <c r="E194" t="s">
        <v>7</v>
      </c>
      <c r="F194" t="s">
        <v>1047</v>
      </c>
      <c r="G194" t="s">
        <v>1085</v>
      </c>
      <c r="H194" s="22" t="s">
        <v>1083</v>
      </c>
      <c r="I194" s="22"/>
      <c r="J194" t="s">
        <v>631</v>
      </c>
      <c r="M194" s="18" t="str">
        <f t="shared" si="5"/>
        <v>fbAnalog PL2_4228_452_TIT_0241 SysClock.o_NewDay 0 0 0.0</v>
      </c>
    </row>
    <row r="195" spans="2:13" x14ac:dyDescent="0.25">
      <c r="B195" t="s">
        <v>1036</v>
      </c>
      <c r="E195" t="s">
        <v>7</v>
      </c>
      <c r="F195" t="s">
        <v>1048</v>
      </c>
      <c r="G195" t="s">
        <v>1085</v>
      </c>
      <c r="H195" s="22" t="s">
        <v>1084</v>
      </c>
      <c r="I195" s="22"/>
      <c r="J195" t="s">
        <v>631</v>
      </c>
      <c r="M195" s="18" t="str">
        <f t="shared" si="5"/>
        <v>fbAnalog PL2_4228_452_AIT_0241_MI SysClock.o_NewDay 0 0 0.0</v>
      </c>
    </row>
    <row r="196" spans="2:13" x14ac:dyDescent="0.25">
      <c r="B196" t="s">
        <v>1036</v>
      </c>
      <c r="E196" t="s">
        <v>7</v>
      </c>
      <c r="F196" t="s">
        <v>1053</v>
      </c>
      <c r="G196" t="s">
        <v>1086</v>
      </c>
      <c r="H196" s="22" t="s">
        <v>1082</v>
      </c>
      <c r="I196" s="22"/>
      <c r="J196" t="s">
        <v>631</v>
      </c>
      <c r="M196" s="18" t="str">
        <f t="shared" si="5"/>
        <v>fbAnalog PL2_4228_452_PDIT_0261 SysClock.o_NewDay 0 0 0.0</v>
      </c>
    </row>
    <row r="197" spans="2:13" x14ac:dyDescent="0.25">
      <c r="B197" t="s">
        <v>1036</v>
      </c>
      <c r="E197" t="s">
        <v>7</v>
      </c>
      <c r="F197" t="s">
        <v>1054</v>
      </c>
      <c r="G197" t="s">
        <v>1086</v>
      </c>
      <c r="H197" s="22" t="s">
        <v>1083</v>
      </c>
      <c r="I197" s="22"/>
      <c r="J197" t="s">
        <v>631</v>
      </c>
      <c r="M197" s="18" t="str">
        <f t="shared" si="5"/>
        <v>fbAnalog PL2_4228_452_TIT_0261 SysClock.o_NewDay 0 0 0.0</v>
      </c>
    </row>
    <row r="198" spans="2:13" x14ac:dyDescent="0.25">
      <c r="B198" t="s">
        <v>1036</v>
      </c>
      <c r="E198" t="s">
        <v>7</v>
      </c>
      <c r="F198" t="s">
        <v>1055</v>
      </c>
      <c r="G198" t="s">
        <v>1086</v>
      </c>
      <c r="H198" s="22" t="s">
        <v>1084</v>
      </c>
      <c r="I198" s="22"/>
      <c r="J198" t="s">
        <v>631</v>
      </c>
      <c r="M198" s="18" t="str">
        <f t="shared" si="5"/>
        <v>fbAnalog PL2_4228_452_AIT_0261_MI SysClock.o_NewDay 0 0 0.0</v>
      </c>
    </row>
    <row r="199" spans="2:13" x14ac:dyDescent="0.25">
      <c r="B199" t="s">
        <v>1036</v>
      </c>
      <c r="E199" t="s">
        <v>7</v>
      </c>
      <c r="F199" t="s">
        <v>1060</v>
      </c>
      <c r="G199" t="s">
        <v>1087</v>
      </c>
      <c r="H199" s="22" t="s">
        <v>1082</v>
      </c>
      <c r="I199" s="22"/>
      <c r="J199" t="s">
        <v>631</v>
      </c>
      <c r="M199" s="18" t="str">
        <f t="shared" ref="M199:M297" si="10">IF(B199 = "P2P",
          "Real P2P Condition",
IF(B199 = "Dummy P2P",
          IF(E199 = "DI",
                    IF(J199 = "fbDigital",
                              _xlfn.CONCAT("fbDigital ", F199, " ", F199, ".i_Raw"),
                              _xlfn.CONCAT("XIC Always_False OTE ", F199)),
                    IF(E199 = "DO",
                              _xlfn.CONCAT("XIC ", F199, " OTE Communication_Command_"),
                              IF(E199 = "AI",
                                        IF(J199 = "fbAnalog",
                                                  _xlfn.CONCAT("fbAnalog ", F199, " SysClock.o_NewDay 0 0 0.0"),
                                                  _xlfn.CONCAT("MOVE 0.0 ", F199)),
                                        IF(E199 = "AO",
                                                  _xlfn.CONCAT("MOVE ", F199, " Communication_Setpoint"),
                                                  "Set Type")))),
IF(E199 = "DI",
          IF(ISBLANK(F199),
                    _xlfn.CONCAT("XIC ", B199, ":", C199, ":I.Data.", D199, " NOP"),
                    IF(ISNUMBER(SEARCH("fbDigital", J199)),
                              _xlfn.CONCAT("fbDigital ", F199, " ", B199, ":", C199, ":I.Data.", D199),
                              _xlfn.CONCAT("XIC ", B199, ":", C199, ":I.Data.", D199, " OTE ", F199))),
IF(E199 = "DO",
          IF(ISBLANK(F199),
                    _xlfn.CONCAT("XIC ",B199, ":", C199, ":O.Data.", D199, " OTE ", B199, ":", C199, ":O.Data.", D199),
                    _xlfn.CONCAT("XIC ", F199, " OTE ", B199, ":", C199, ":O.Data.", D199)),
IF(E199 = "AI",
          IF(ISBLANK(F199),
                    "NOP",
                    IF(ISNUMBER(SEARCH("fbAnalog", J199)),
                              _xlfn.CONCAT("fbAnalog ", F199, " SysClock.o_NewDay ", B199, ":", C199, ":I.Ch[", D199, "].Fault 0 ", B199, ":", C199, ":I.Ch[", D199, "].Data"),
                              _xlfn.CONCAT("MOVE ", B199, ":", C199, ":I.Ch[", D199, "].Data ", F199))),
IF(E199 = "AO",
          IF(ISBLANK(F199),
                    "NOP",
                    _xlfn.CONCAT("MOVE ", F199, " ", B199, ":", C199, ":O.Ch[", D199, "].Data")),
"Set Rack and Type"))))))</f>
        <v>fbAnalog PL2_4228_452_PDIT_0281 SysClock.o_NewDay 0 0 0.0</v>
      </c>
    </row>
    <row r="200" spans="2:13" x14ac:dyDescent="0.25">
      <c r="B200" t="s">
        <v>1036</v>
      </c>
      <c r="E200" t="s">
        <v>7</v>
      </c>
      <c r="F200" t="s">
        <v>1061</v>
      </c>
      <c r="G200" t="s">
        <v>1087</v>
      </c>
      <c r="H200" s="22" t="s">
        <v>1083</v>
      </c>
      <c r="I200" s="22"/>
      <c r="J200" t="s">
        <v>631</v>
      </c>
      <c r="M200" s="18" t="str">
        <f t="shared" si="10"/>
        <v>fbAnalog PL2_4228_452_TIT_0281 SysClock.o_NewDay 0 0 0.0</v>
      </c>
    </row>
    <row r="201" spans="2:13" x14ac:dyDescent="0.25">
      <c r="B201" t="s">
        <v>1036</v>
      </c>
      <c r="E201" t="s">
        <v>7</v>
      </c>
      <c r="F201" t="s">
        <v>1062</v>
      </c>
      <c r="G201" t="s">
        <v>1087</v>
      </c>
      <c r="H201" s="22" t="s">
        <v>1084</v>
      </c>
      <c r="I201" s="22"/>
      <c r="J201" t="s">
        <v>631</v>
      </c>
      <c r="M201" s="18" t="str">
        <f t="shared" si="10"/>
        <v>fbAnalog PL2_4228_452_AIT_0281_MI SysClock.o_NewDay 0 0 0.0</v>
      </c>
    </row>
    <row r="202" spans="2:13" x14ac:dyDescent="0.25">
      <c r="B202" t="s">
        <v>1036</v>
      </c>
      <c r="E202" t="s">
        <v>7</v>
      </c>
      <c r="F202" t="s">
        <v>1037</v>
      </c>
      <c r="G202" t="s">
        <v>777</v>
      </c>
      <c r="H202" s="22" t="s">
        <v>1091</v>
      </c>
      <c r="I202" s="22"/>
      <c r="J202" t="s">
        <v>631</v>
      </c>
      <c r="K202" s="22"/>
      <c r="M202" s="18" t="str">
        <f t="shared" si="10"/>
        <v>fbAnalog PL2_4228_461_TIT_0212 SysClock.o_NewDay 0 0 0.0</v>
      </c>
    </row>
    <row r="203" spans="2:13" x14ac:dyDescent="0.25">
      <c r="B203" t="s">
        <v>1036</v>
      </c>
      <c r="E203" t="s">
        <v>7</v>
      </c>
      <c r="F203" t="s">
        <v>1065</v>
      </c>
      <c r="G203" t="s">
        <v>777</v>
      </c>
      <c r="H203" s="22" t="s">
        <v>1088</v>
      </c>
      <c r="I203" s="22"/>
      <c r="J203" t="s">
        <v>631</v>
      </c>
      <c r="K203" s="22"/>
      <c r="M203" s="18" t="str">
        <f t="shared" si="10"/>
        <v>fbAnalog PL2_4228_461_TIT_0213A SysClock.o_NewDay 0 0 0.0</v>
      </c>
    </row>
    <row r="204" spans="2:13" x14ac:dyDescent="0.25">
      <c r="B204" t="s">
        <v>1036</v>
      </c>
      <c r="E204" t="s">
        <v>7</v>
      </c>
      <c r="F204" t="s">
        <v>1066</v>
      </c>
      <c r="G204" t="s">
        <v>777</v>
      </c>
      <c r="H204" s="22" t="s">
        <v>1089</v>
      </c>
      <c r="I204" s="22"/>
      <c r="J204" t="s">
        <v>631</v>
      </c>
      <c r="K204" s="22"/>
      <c r="M204" s="18" t="str">
        <f t="shared" si="10"/>
        <v>fbAnalog PL2_4228_461_TIT_0213B SysClock.o_NewDay 0 0 0.0</v>
      </c>
    </row>
    <row r="205" spans="2:13" x14ac:dyDescent="0.25">
      <c r="B205" t="s">
        <v>1036</v>
      </c>
      <c r="E205" t="s">
        <v>7</v>
      </c>
      <c r="F205" t="s">
        <v>1038</v>
      </c>
      <c r="G205" t="s">
        <v>777</v>
      </c>
      <c r="H205" s="22" t="s">
        <v>1090</v>
      </c>
      <c r="I205" s="22"/>
      <c r="J205" t="s">
        <v>631</v>
      </c>
      <c r="K205" s="22"/>
      <c r="M205" s="18" t="str">
        <f t="shared" si="10"/>
        <v>fbAnalog PL2_4228_461_TIT_0214 SysClock.o_NewDay 0 0 0.0</v>
      </c>
    </row>
    <row r="206" spans="2:13" x14ac:dyDescent="0.25">
      <c r="B206" t="s">
        <v>1036</v>
      </c>
      <c r="E206" t="s">
        <v>7</v>
      </c>
      <c r="F206" t="s">
        <v>1404</v>
      </c>
      <c r="G206" t="s">
        <v>777</v>
      </c>
      <c r="H206" s="22" t="s">
        <v>1387</v>
      </c>
      <c r="I206" s="22"/>
      <c r="J206" t="s">
        <v>631</v>
      </c>
      <c r="K206" s="22"/>
      <c r="M206" s="18" t="str">
        <f t="shared" ref="M206" si="11">IF(B206 = "P2P",
          "Real P2P Condition",
IF(B206 = "Dummy P2P",
          IF(E206 = "DI",
                    IF(J206 = "fbDigital",
                              _xlfn.CONCAT("fbDigital ", F206, " ", F206, ".i_Raw"),
                              _xlfn.CONCAT("XIC Always_False OTE ", F206)),
                    IF(E206 = "DO",
                              _xlfn.CONCAT("XIC ", F206, " OTE Communication_Command_"),
                              IF(E206 = "AI",
                                        IF(J206 = "fbAnalog",
                                                  _xlfn.CONCAT("fbAnalog ", F206, " SysClock.o_NewDay 0 0 0.0"),
                                                  _xlfn.CONCAT("MOVE 0.0 ", F206)),
                                        IF(E206 = "AO",
                                                  _xlfn.CONCAT("MOVE ", F206, " Communication_Setpoint"),
                                                  "Set Type")))),
IF(E206 = "DI",
          IF(ISBLANK(F206),
                    _xlfn.CONCAT("XIC ", B206, ":", C206, ":I.Data.", D206, " NOP"),
                    IF(ISNUMBER(SEARCH("fbDigital", J206)),
                              _xlfn.CONCAT("fbDigital ", F206, " ", B206, ":", C206, ":I.Data.", D206),
                              _xlfn.CONCAT("XIC ", B206, ":", C206, ":I.Data.", D206, " OTE ", F206))),
IF(E206 = "DO",
          IF(ISBLANK(F206),
                    _xlfn.CONCAT("XIC ",B206, ":", C206, ":O.Data.", D206, " OTE ", B206, ":", C206, ":O.Data.", D206),
                    _xlfn.CONCAT("XIC ", F206, " OTE ", B206, ":", C206, ":O.Data.", D206)),
IF(E206 = "AI",
          IF(ISBLANK(F206),
                    "NOP",
                    IF(ISNUMBER(SEARCH("fbAnalog", J206)),
                              _xlfn.CONCAT("fbAnalog ", F206, " SysClock.o_NewDay ", B206, ":", C206, ":I.Ch[", D206, "].Fault 0 ", B206, ":", C206, ":I.Ch[", D206, "].Data"),
                              _xlfn.CONCAT("MOVE ", B206, ":", C206, ":I.Ch[", D206, "].Data ", F206))),
IF(E206 = "AO",
          IF(ISBLANK(F206),
                    "NOP",
                    _xlfn.CONCAT("MOVE ", F206, " ", B206, ":", C206, ":O.Ch[", D206, "].Data")),
"Set Rack and Type"))))))</f>
        <v>fbAnalog PL2_4228_452_PIT_0215 SysClock.o_NewDay 0 0 0.0</v>
      </c>
    </row>
    <row r="207" spans="2:13" x14ac:dyDescent="0.25">
      <c r="B207" t="s">
        <v>1036</v>
      </c>
      <c r="E207" t="s">
        <v>7</v>
      </c>
      <c r="F207" t="s">
        <v>1042</v>
      </c>
      <c r="G207" t="s">
        <v>778</v>
      </c>
      <c r="H207" s="22" t="s">
        <v>1091</v>
      </c>
      <c r="I207" s="22"/>
      <c r="J207" t="s">
        <v>631</v>
      </c>
      <c r="K207" s="22"/>
      <c r="M207" s="18" t="str">
        <f t="shared" si="10"/>
        <v>fbAnalog PL2_4228_461_TIT_0222 SysClock.o_NewDay 0 0 0.0</v>
      </c>
    </row>
    <row r="208" spans="2:13" x14ac:dyDescent="0.25">
      <c r="B208" t="s">
        <v>1036</v>
      </c>
      <c r="E208" t="s">
        <v>7</v>
      </c>
      <c r="F208" t="s">
        <v>1067</v>
      </c>
      <c r="G208" t="s">
        <v>778</v>
      </c>
      <c r="H208" s="22" t="s">
        <v>1088</v>
      </c>
      <c r="I208" s="22"/>
      <c r="J208" t="s">
        <v>631</v>
      </c>
      <c r="K208" s="22"/>
      <c r="M208" s="18" t="str">
        <f t="shared" si="10"/>
        <v>fbAnalog PL2_4228_461_TIT_0223A SysClock.o_NewDay 0 0 0.0</v>
      </c>
    </row>
    <row r="209" spans="2:13" x14ac:dyDescent="0.25">
      <c r="B209" t="s">
        <v>1036</v>
      </c>
      <c r="E209" t="s">
        <v>7</v>
      </c>
      <c r="F209" t="s">
        <v>1068</v>
      </c>
      <c r="G209" t="s">
        <v>778</v>
      </c>
      <c r="H209" s="22" t="s">
        <v>1089</v>
      </c>
      <c r="I209" s="22"/>
      <c r="J209" t="s">
        <v>631</v>
      </c>
      <c r="K209" s="22"/>
      <c r="M209" s="18" t="str">
        <f t="shared" si="10"/>
        <v>fbAnalog PL2_4228_461_TIT_0223B SysClock.o_NewDay 0 0 0.0</v>
      </c>
    </row>
    <row r="210" spans="2:13" x14ac:dyDescent="0.25">
      <c r="B210" t="s">
        <v>1036</v>
      </c>
      <c r="E210" t="s">
        <v>7</v>
      </c>
      <c r="F210" t="s">
        <v>1043</v>
      </c>
      <c r="G210" t="s">
        <v>778</v>
      </c>
      <c r="H210" s="22" t="s">
        <v>1090</v>
      </c>
      <c r="I210" s="22"/>
      <c r="J210" t="s">
        <v>631</v>
      </c>
      <c r="K210" s="22"/>
      <c r="M210" s="18" t="str">
        <f t="shared" si="10"/>
        <v>fbAnalog PL2_4228_461_TIT_0224 SysClock.o_NewDay 0 0 0.0</v>
      </c>
    </row>
    <row r="211" spans="2:13" x14ac:dyDescent="0.25">
      <c r="B211" t="s">
        <v>1036</v>
      </c>
      <c r="E211" t="s">
        <v>7</v>
      </c>
      <c r="F211" t="s">
        <v>1405</v>
      </c>
      <c r="G211" t="s">
        <v>778</v>
      </c>
      <c r="H211" s="22" t="s">
        <v>1387</v>
      </c>
      <c r="I211" s="22"/>
      <c r="J211" t="s">
        <v>631</v>
      </c>
      <c r="K211" s="22"/>
      <c r="M211" s="18" t="str">
        <f t="shared" si="10"/>
        <v>fbAnalog PL2_4228_452_PIT_0225 SysClock.o_NewDay 0 0 0.0</v>
      </c>
    </row>
    <row r="212" spans="2:13" x14ac:dyDescent="0.25">
      <c r="B212" t="s">
        <v>1036</v>
      </c>
      <c r="E212" t="s">
        <v>7</v>
      </c>
      <c r="F212" t="s">
        <v>1044</v>
      </c>
      <c r="G212" t="s">
        <v>780</v>
      </c>
      <c r="H212" s="22" t="s">
        <v>1091</v>
      </c>
      <c r="I212" s="22"/>
      <c r="J212" t="s">
        <v>631</v>
      </c>
      <c r="K212" s="22"/>
      <c r="M212" s="18" t="str">
        <f t="shared" si="10"/>
        <v>fbAnalog PL2_4228_461_TIT_0232 SysClock.o_NewDay 0 0 0.0</v>
      </c>
    </row>
    <row r="213" spans="2:13" x14ac:dyDescent="0.25">
      <c r="B213" t="s">
        <v>1036</v>
      </c>
      <c r="E213" t="s">
        <v>7</v>
      </c>
      <c r="F213" t="s">
        <v>1069</v>
      </c>
      <c r="G213" t="s">
        <v>780</v>
      </c>
      <c r="H213" s="22" t="s">
        <v>1088</v>
      </c>
      <c r="I213" s="22"/>
      <c r="J213" t="s">
        <v>631</v>
      </c>
      <c r="K213" s="22"/>
      <c r="M213" s="18" t="str">
        <f t="shared" si="10"/>
        <v>fbAnalog PL2_4228_461_TIT_0233A SysClock.o_NewDay 0 0 0.0</v>
      </c>
    </row>
    <row r="214" spans="2:13" x14ac:dyDescent="0.25">
      <c r="B214" t="s">
        <v>1036</v>
      </c>
      <c r="E214" t="s">
        <v>7</v>
      </c>
      <c r="F214" t="s">
        <v>1070</v>
      </c>
      <c r="G214" t="s">
        <v>780</v>
      </c>
      <c r="H214" s="22" t="s">
        <v>1089</v>
      </c>
      <c r="I214" s="22"/>
      <c r="J214" t="s">
        <v>631</v>
      </c>
      <c r="K214" s="22"/>
      <c r="M214" s="18" t="str">
        <f t="shared" si="10"/>
        <v>fbAnalog PL2_4228_461_TIT_0233B SysClock.o_NewDay 0 0 0.0</v>
      </c>
    </row>
    <row r="215" spans="2:13" x14ac:dyDescent="0.25">
      <c r="B215" t="s">
        <v>1036</v>
      </c>
      <c r="E215" t="s">
        <v>7</v>
      </c>
      <c r="F215" t="s">
        <v>1045</v>
      </c>
      <c r="G215" t="s">
        <v>780</v>
      </c>
      <c r="H215" s="22" t="s">
        <v>1090</v>
      </c>
      <c r="I215" s="22"/>
      <c r="J215" t="s">
        <v>631</v>
      </c>
      <c r="K215" s="22"/>
      <c r="M215" s="18" t="str">
        <f t="shared" si="10"/>
        <v>fbAnalog PL2_4228_461_TIT_0234 SysClock.o_NewDay 0 0 0.0</v>
      </c>
    </row>
    <row r="216" spans="2:13" x14ac:dyDescent="0.25">
      <c r="B216" t="s">
        <v>1036</v>
      </c>
      <c r="E216" t="s">
        <v>7</v>
      </c>
      <c r="F216" t="s">
        <v>1406</v>
      </c>
      <c r="G216" t="s">
        <v>780</v>
      </c>
      <c r="H216" s="22" t="s">
        <v>1387</v>
      </c>
      <c r="I216" s="22"/>
      <c r="J216" t="s">
        <v>631</v>
      </c>
      <c r="K216" s="22"/>
      <c r="M216" s="18" t="str">
        <f t="shared" ref="M216" si="12">IF(B216 = "P2P",
          "Real P2P Condition",
IF(B216 = "Dummy P2P",
          IF(E216 = "DI",
                    IF(J216 = "fbDigital",
                              _xlfn.CONCAT("fbDigital ", F216, " ", F216, ".i_Raw"),
                              _xlfn.CONCAT("XIC Always_False OTE ", F216)),
                    IF(E216 = "DO",
                              _xlfn.CONCAT("XIC ", F216, " OTE Communication_Command_"),
                              IF(E216 = "AI",
                                        IF(J216 = "fbAnalog",
                                                  _xlfn.CONCAT("fbAnalog ", F216, " SysClock.o_NewDay 0 0 0.0"),
                                                  _xlfn.CONCAT("MOVE 0.0 ", F216)),
                                        IF(E216 = "AO",
                                                  _xlfn.CONCAT("MOVE ", F216, " Communication_Setpoint"),
                                                  "Set Type")))),
IF(E216 = "DI",
          IF(ISBLANK(F216),
                    _xlfn.CONCAT("XIC ", B216, ":", C216, ":I.Data.", D216, " NOP"),
                    IF(ISNUMBER(SEARCH("fbDigital", J216)),
                              _xlfn.CONCAT("fbDigital ", F216, " ", B216, ":", C216, ":I.Data.", D216),
                              _xlfn.CONCAT("XIC ", B216, ":", C216, ":I.Data.", D216, " OTE ", F216))),
IF(E216 = "DO",
          IF(ISBLANK(F216),
                    _xlfn.CONCAT("XIC ",B216, ":", C216, ":O.Data.", D216, " OTE ", B216, ":", C216, ":O.Data.", D216),
                    _xlfn.CONCAT("XIC ", F216, " OTE ", B216, ":", C216, ":O.Data.", D216)),
IF(E216 = "AI",
          IF(ISBLANK(F216),
                    "NOP",
                    IF(ISNUMBER(SEARCH("fbAnalog", J216)),
                              _xlfn.CONCAT("fbAnalog ", F216, " SysClock.o_NewDay ", B216, ":", C216, ":I.Ch[", D216, "].Fault 0 ", B216, ":", C216, ":I.Ch[", D216, "].Data"),
                              _xlfn.CONCAT("MOVE ", B216, ":", C216, ":I.Ch[", D216, "].Data ", F216))),
IF(E216 = "AO",
          IF(ISBLANK(F216),
                    "NOP",
                    _xlfn.CONCAT("MOVE ", F216, " ", B216, ":", C216, ":O.Ch[", D216, "].Data")),
"Set Rack and Type"))))))</f>
        <v>fbAnalog PL2_4228_452_PIT_0235 SysClock.o_NewDay 0 0 0.0</v>
      </c>
    </row>
    <row r="217" spans="2:13" x14ac:dyDescent="0.25">
      <c r="B217" t="s">
        <v>1036</v>
      </c>
      <c r="E217" t="s">
        <v>7</v>
      </c>
      <c r="F217" t="s">
        <v>1049</v>
      </c>
      <c r="G217" t="s">
        <v>779</v>
      </c>
      <c r="H217" s="22" t="s">
        <v>1091</v>
      </c>
      <c r="I217" s="22"/>
      <c r="J217" t="s">
        <v>631</v>
      </c>
      <c r="K217" s="22"/>
      <c r="M217" s="18" t="str">
        <f t="shared" si="10"/>
        <v>fbAnalog PL2_4228_461_TIT_0242 SysClock.o_NewDay 0 0 0.0</v>
      </c>
    </row>
    <row r="218" spans="2:13" x14ac:dyDescent="0.25">
      <c r="B218" t="s">
        <v>1036</v>
      </c>
      <c r="E218" t="s">
        <v>7</v>
      </c>
      <c r="F218" t="s">
        <v>1071</v>
      </c>
      <c r="G218" t="s">
        <v>779</v>
      </c>
      <c r="H218" s="22" t="s">
        <v>1088</v>
      </c>
      <c r="I218" s="22"/>
      <c r="J218" t="s">
        <v>631</v>
      </c>
      <c r="K218" s="22"/>
      <c r="M218" s="18" t="str">
        <f t="shared" si="10"/>
        <v>fbAnalog PL2_4228_461_TIT_0243A SysClock.o_NewDay 0 0 0.0</v>
      </c>
    </row>
    <row r="219" spans="2:13" x14ac:dyDescent="0.25">
      <c r="B219" t="s">
        <v>1036</v>
      </c>
      <c r="E219" t="s">
        <v>7</v>
      </c>
      <c r="F219" t="s">
        <v>1072</v>
      </c>
      <c r="G219" t="s">
        <v>779</v>
      </c>
      <c r="H219" s="22" t="s">
        <v>1089</v>
      </c>
      <c r="I219" s="22"/>
      <c r="J219" t="s">
        <v>631</v>
      </c>
      <c r="K219" s="22"/>
      <c r="M219" s="18" t="str">
        <f t="shared" si="10"/>
        <v>fbAnalog PL2_4228_461_TIT_0243B SysClock.o_NewDay 0 0 0.0</v>
      </c>
    </row>
    <row r="220" spans="2:13" x14ac:dyDescent="0.25">
      <c r="B220" t="s">
        <v>1036</v>
      </c>
      <c r="E220" t="s">
        <v>7</v>
      </c>
      <c r="F220" t="s">
        <v>1050</v>
      </c>
      <c r="G220" t="s">
        <v>779</v>
      </c>
      <c r="H220" s="22" t="s">
        <v>1090</v>
      </c>
      <c r="I220" s="22"/>
      <c r="J220" t="s">
        <v>631</v>
      </c>
      <c r="K220" s="22"/>
      <c r="M220" s="18" t="str">
        <f t="shared" si="10"/>
        <v>fbAnalog PL2_4228_461_TIT_0244 SysClock.o_NewDay 0 0 0.0</v>
      </c>
    </row>
    <row r="221" spans="2:13" x14ac:dyDescent="0.25">
      <c r="B221" t="s">
        <v>1036</v>
      </c>
      <c r="E221" t="s">
        <v>7</v>
      </c>
      <c r="F221" t="s">
        <v>1407</v>
      </c>
      <c r="G221" t="s">
        <v>779</v>
      </c>
      <c r="H221" s="22" t="s">
        <v>1387</v>
      </c>
      <c r="I221" s="22"/>
      <c r="J221" t="s">
        <v>631</v>
      </c>
      <c r="K221" s="22"/>
      <c r="M221" s="18" t="str">
        <f t="shared" si="10"/>
        <v>fbAnalog PL2_4228_452_PIT_0245 SysClock.o_NewDay 0 0 0.0</v>
      </c>
    </row>
    <row r="222" spans="2:13" x14ac:dyDescent="0.25">
      <c r="B222" t="s">
        <v>1036</v>
      </c>
      <c r="E222" t="s">
        <v>7</v>
      </c>
      <c r="F222" t="s">
        <v>1051</v>
      </c>
      <c r="G222" t="s">
        <v>782</v>
      </c>
      <c r="H222" s="22" t="s">
        <v>1091</v>
      </c>
      <c r="I222" s="22"/>
      <c r="J222" t="s">
        <v>631</v>
      </c>
      <c r="K222" s="22"/>
      <c r="M222" s="18" t="str">
        <f t="shared" si="10"/>
        <v>fbAnalog PL2_4228_461_TIT_0252 SysClock.o_NewDay 0 0 0.0</v>
      </c>
    </row>
    <row r="223" spans="2:13" x14ac:dyDescent="0.25">
      <c r="B223" t="s">
        <v>1036</v>
      </c>
      <c r="E223" t="s">
        <v>7</v>
      </c>
      <c r="F223" t="s">
        <v>1073</v>
      </c>
      <c r="G223" t="s">
        <v>782</v>
      </c>
      <c r="H223" s="22" t="s">
        <v>1088</v>
      </c>
      <c r="I223" s="22"/>
      <c r="J223" t="s">
        <v>631</v>
      </c>
      <c r="K223" s="22"/>
      <c r="M223" s="18" t="str">
        <f t="shared" si="10"/>
        <v>fbAnalog PL2_4228_461_TIT_0253A SysClock.o_NewDay 0 0 0.0</v>
      </c>
    </row>
    <row r="224" spans="2:13" x14ac:dyDescent="0.25">
      <c r="B224" t="s">
        <v>1036</v>
      </c>
      <c r="E224" t="s">
        <v>7</v>
      </c>
      <c r="F224" t="s">
        <v>1074</v>
      </c>
      <c r="G224" t="s">
        <v>782</v>
      </c>
      <c r="H224" s="22" t="s">
        <v>1089</v>
      </c>
      <c r="I224" s="22"/>
      <c r="J224" t="s">
        <v>631</v>
      </c>
      <c r="K224" s="22"/>
      <c r="M224" s="18" t="str">
        <f t="shared" si="10"/>
        <v>fbAnalog PL2_4228_461_TIT_0253B SysClock.o_NewDay 0 0 0.0</v>
      </c>
    </row>
    <row r="225" spans="2:13" x14ac:dyDescent="0.25">
      <c r="B225" t="s">
        <v>1036</v>
      </c>
      <c r="E225" t="s">
        <v>7</v>
      </c>
      <c r="F225" t="s">
        <v>1052</v>
      </c>
      <c r="G225" t="s">
        <v>782</v>
      </c>
      <c r="H225" s="22" t="s">
        <v>1090</v>
      </c>
      <c r="I225" s="22"/>
      <c r="J225" t="s">
        <v>631</v>
      </c>
      <c r="K225" s="22"/>
      <c r="M225" s="18" t="str">
        <f t="shared" si="10"/>
        <v>fbAnalog PL2_4228_461_TIT_0254 SysClock.o_NewDay 0 0 0.0</v>
      </c>
    </row>
    <row r="226" spans="2:13" x14ac:dyDescent="0.25">
      <c r="B226" t="s">
        <v>1036</v>
      </c>
      <c r="E226" t="s">
        <v>7</v>
      </c>
      <c r="F226" t="s">
        <v>1408</v>
      </c>
      <c r="G226" t="s">
        <v>782</v>
      </c>
      <c r="H226" s="22" t="s">
        <v>1387</v>
      </c>
      <c r="I226" s="22"/>
      <c r="J226" t="s">
        <v>631</v>
      </c>
      <c r="K226" s="22"/>
      <c r="M226" s="18" t="str">
        <f t="shared" ref="M226" si="13">IF(B226 = "P2P",
          "Real P2P Condition",
IF(B226 = "Dummy P2P",
          IF(E226 = "DI",
                    IF(J226 = "fbDigital",
                              _xlfn.CONCAT("fbDigital ", F226, " ", F226, ".i_Raw"),
                              _xlfn.CONCAT("XIC Always_False OTE ", F226)),
                    IF(E226 = "DO",
                              _xlfn.CONCAT("XIC ", F226, " OTE Communication_Command_"),
                              IF(E226 = "AI",
                                        IF(J226 = "fbAnalog",
                                                  _xlfn.CONCAT("fbAnalog ", F226, " SysClock.o_NewDay 0 0 0.0"),
                                                  _xlfn.CONCAT("MOVE 0.0 ", F226)),
                                        IF(E226 = "AO",
                                                  _xlfn.CONCAT("MOVE ", F226, " Communication_Setpoint"),
                                                  "Set Type")))),
IF(E226 = "DI",
          IF(ISBLANK(F226),
                    _xlfn.CONCAT("XIC ", B226, ":", C226, ":I.Data.", D226, " NOP"),
                    IF(ISNUMBER(SEARCH("fbDigital", J226)),
                              _xlfn.CONCAT("fbDigital ", F226, " ", B226, ":", C226, ":I.Data.", D226),
                              _xlfn.CONCAT("XIC ", B226, ":", C226, ":I.Data.", D226, " OTE ", F226))),
IF(E226 = "DO",
          IF(ISBLANK(F226),
                    _xlfn.CONCAT("XIC ",B226, ":", C226, ":O.Data.", D226, " OTE ", B226, ":", C226, ":O.Data.", D226),
                    _xlfn.CONCAT("XIC ", F226, " OTE ", B226, ":", C226, ":O.Data.", D226)),
IF(E226 = "AI",
          IF(ISBLANK(F226),
                    "NOP",
                    IF(ISNUMBER(SEARCH("fbAnalog", J226)),
                              _xlfn.CONCAT("fbAnalog ", F226, " SysClock.o_NewDay ", B226, ":", C226, ":I.Ch[", D226, "].Fault 0 ", B226, ":", C226, ":I.Ch[", D226, "].Data"),
                              _xlfn.CONCAT("MOVE ", B226, ":", C226, ":I.Ch[", D226, "].Data ", F226))),
IF(E226 = "AO",
          IF(ISBLANK(F226),
                    "NOP",
                    _xlfn.CONCAT("MOVE ", F226, " ", B226, ":", C226, ":O.Ch[", D226, "].Data")),
"Set Rack and Type"))))))</f>
        <v>fbAnalog PL2_4228_452_PIT_0255 SysClock.o_NewDay 0 0 0.0</v>
      </c>
    </row>
    <row r="227" spans="2:13" x14ac:dyDescent="0.25">
      <c r="B227" t="s">
        <v>1036</v>
      </c>
      <c r="E227" t="s">
        <v>7</v>
      </c>
      <c r="F227" t="s">
        <v>1056</v>
      </c>
      <c r="G227" t="s">
        <v>781</v>
      </c>
      <c r="H227" s="22" t="s">
        <v>1091</v>
      </c>
      <c r="I227" s="22"/>
      <c r="J227" t="s">
        <v>631</v>
      </c>
      <c r="K227" s="22"/>
      <c r="M227" s="18" t="str">
        <f t="shared" si="10"/>
        <v>fbAnalog PL2_4228_461_TIT_0262 SysClock.o_NewDay 0 0 0.0</v>
      </c>
    </row>
    <row r="228" spans="2:13" x14ac:dyDescent="0.25">
      <c r="B228" t="s">
        <v>1036</v>
      </c>
      <c r="E228" t="s">
        <v>7</v>
      </c>
      <c r="F228" t="s">
        <v>1075</v>
      </c>
      <c r="G228" t="s">
        <v>781</v>
      </c>
      <c r="H228" s="22" t="s">
        <v>1088</v>
      </c>
      <c r="I228" s="22"/>
      <c r="J228" t="s">
        <v>631</v>
      </c>
      <c r="K228" s="22"/>
      <c r="M228" s="18" t="str">
        <f t="shared" si="10"/>
        <v>fbAnalog PL2_4228_461_TIT_0263A SysClock.o_NewDay 0 0 0.0</v>
      </c>
    </row>
    <row r="229" spans="2:13" x14ac:dyDescent="0.25">
      <c r="B229" t="s">
        <v>1036</v>
      </c>
      <c r="E229" t="s">
        <v>7</v>
      </c>
      <c r="F229" t="s">
        <v>1076</v>
      </c>
      <c r="G229" t="s">
        <v>781</v>
      </c>
      <c r="H229" s="22" t="s">
        <v>1089</v>
      </c>
      <c r="I229" s="22"/>
      <c r="J229" t="s">
        <v>631</v>
      </c>
      <c r="K229" s="22"/>
      <c r="M229" s="18" t="str">
        <f t="shared" si="10"/>
        <v>fbAnalog PL2_4228_461_TIT_0263B SysClock.o_NewDay 0 0 0.0</v>
      </c>
    </row>
    <row r="230" spans="2:13" x14ac:dyDescent="0.25">
      <c r="B230" t="s">
        <v>1036</v>
      </c>
      <c r="E230" t="s">
        <v>7</v>
      </c>
      <c r="F230" t="s">
        <v>1057</v>
      </c>
      <c r="G230" t="s">
        <v>781</v>
      </c>
      <c r="H230" s="22" t="s">
        <v>1090</v>
      </c>
      <c r="I230" s="22"/>
      <c r="J230" t="s">
        <v>631</v>
      </c>
      <c r="K230" s="22"/>
      <c r="M230" s="18" t="str">
        <f t="shared" si="10"/>
        <v>fbAnalog PL2_4228_461_TIT_0264 SysClock.o_NewDay 0 0 0.0</v>
      </c>
    </row>
    <row r="231" spans="2:13" x14ac:dyDescent="0.25">
      <c r="B231" t="s">
        <v>1036</v>
      </c>
      <c r="E231" t="s">
        <v>7</v>
      </c>
      <c r="F231" t="s">
        <v>1409</v>
      </c>
      <c r="G231" t="s">
        <v>781</v>
      </c>
      <c r="H231" s="22" t="s">
        <v>1387</v>
      </c>
      <c r="I231" s="22"/>
      <c r="J231" t="s">
        <v>631</v>
      </c>
      <c r="K231" s="22"/>
      <c r="M231" s="18" t="str">
        <f t="shared" si="10"/>
        <v>fbAnalog PL2_4228_452_PIT_0265 SysClock.o_NewDay 0 0 0.0</v>
      </c>
    </row>
    <row r="232" spans="2:13" x14ac:dyDescent="0.25">
      <c r="B232" t="s">
        <v>1036</v>
      </c>
      <c r="E232" t="s">
        <v>7</v>
      </c>
      <c r="F232" t="s">
        <v>1058</v>
      </c>
      <c r="G232" t="s">
        <v>783</v>
      </c>
      <c r="H232" s="22" t="s">
        <v>1091</v>
      </c>
      <c r="I232" s="22"/>
      <c r="J232" t="s">
        <v>631</v>
      </c>
      <c r="K232" s="22"/>
      <c r="M232" s="18" t="str">
        <f t="shared" si="10"/>
        <v>fbAnalog PL2_4228_461_TIT_0272 SysClock.o_NewDay 0 0 0.0</v>
      </c>
    </row>
    <row r="233" spans="2:13" x14ac:dyDescent="0.25">
      <c r="B233" t="s">
        <v>1036</v>
      </c>
      <c r="E233" t="s">
        <v>7</v>
      </c>
      <c r="F233" t="s">
        <v>1077</v>
      </c>
      <c r="G233" t="s">
        <v>783</v>
      </c>
      <c r="H233" s="22" t="s">
        <v>1088</v>
      </c>
      <c r="I233" s="22"/>
      <c r="J233" t="s">
        <v>631</v>
      </c>
      <c r="K233" s="22"/>
      <c r="M233" s="18" t="str">
        <f t="shared" si="10"/>
        <v>fbAnalog PL2_4228_461_TIT_0273A SysClock.o_NewDay 0 0 0.0</v>
      </c>
    </row>
    <row r="234" spans="2:13" x14ac:dyDescent="0.25">
      <c r="B234" t="s">
        <v>1036</v>
      </c>
      <c r="E234" t="s">
        <v>7</v>
      </c>
      <c r="F234" t="s">
        <v>1078</v>
      </c>
      <c r="G234" t="s">
        <v>783</v>
      </c>
      <c r="H234" s="22" t="s">
        <v>1089</v>
      </c>
      <c r="I234" s="22"/>
      <c r="J234" t="s">
        <v>631</v>
      </c>
      <c r="K234" s="22"/>
      <c r="M234" s="18" t="str">
        <f t="shared" si="10"/>
        <v>fbAnalog PL2_4228_461_TIT_0273B SysClock.o_NewDay 0 0 0.0</v>
      </c>
    </row>
    <row r="235" spans="2:13" x14ac:dyDescent="0.25">
      <c r="B235" t="s">
        <v>1036</v>
      </c>
      <c r="E235" t="s">
        <v>7</v>
      </c>
      <c r="F235" t="s">
        <v>1059</v>
      </c>
      <c r="G235" t="s">
        <v>783</v>
      </c>
      <c r="H235" s="22" t="s">
        <v>1090</v>
      </c>
      <c r="I235" s="22"/>
      <c r="J235" t="s">
        <v>631</v>
      </c>
      <c r="K235" s="22"/>
      <c r="M235" s="18" t="str">
        <f t="shared" si="10"/>
        <v>fbAnalog PL2_4228_461_TIT_0274 SysClock.o_NewDay 0 0 0.0</v>
      </c>
    </row>
    <row r="236" spans="2:13" x14ac:dyDescent="0.25">
      <c r="B236" t="s">
        <v>1036</v>
      </c>
      <c r="E236" t="s">
        <v>7</v>
      </c>
      <c r="F236" t="s">
        <v>1410</v>
      </c>
      <c r="G236" t="s">
        <v>783</v>
      </c>
      <c r="H236" s="22" t="s">
        <v>1387</v>
      </c>
      <c r="I236" s="22"/>
      <c r="J236" t="s">
        <v>631</v>
      </c>
      <c r="K236" s="22"/>
      <c r="M236" s="18" t="str">
        <f t="shared" ref="M236" si="14">IF(B236 = "P2P",
          "Real P2P Condition",
IF(B236 = "Dummy P2P",
          IF(E236 = "DI",
                    IF(J236 = "fbDigital",
                              _xlfn.CONCAT("fbDigital ", F236, " ", F236, ".i_Raw"),
                              _xlfn.CONCAT("XIC Always_False OTE ", F236)),
                    IF(E236 = "DO",
                              _xlfn.CONCAT("XIC ", F236, " OTE Communication_Command_"),
                              IF(E236 = "AI",
                                        IF(J236 = "fbAnalog",
                                                  _xlfn.CONCAT("fbAnalog ", F236, " SysClock.o_NewDay 0 0 0.0"),
                                                  _xlfn.CONCAT("MOVE 0.0 ", F236)),
                                        IF(E236 = "AO",
                                                  _xlfn.CONCAT("MOVE ", F236, " Communication_Setpoint"),
                                                  "Set Type")))),
IF(E236 = "DI",
          IF(ISBLANK(F236),
                    _xlfn.CONCAT("XIC ", B236, ":", C236, ":I.Data.", D236, " NOP"),
                    IF(ISNUMBER(SEARCH("fbDigital", J236)),
                              _xlfn.CONCAT("fbDigital ", F236, " ", B236, ":", C236, ":I.Data.", D236),
                              _xlfn.CONCAT("XIC ", B236, ":", C236, ":I.Data.", D236, " OTE ", F236))),
IF(E236 = "DO",
          IF(ISBLANK(F236),
                    _xlfn.CONCAT("XIC ",B236, ":", C236, ":O.Data.", D236, " OTE ", B236, ":", C236, ":O.Data.", D236),
                    _xlfn.CONCAT("XIC ", F236, " OTE ", B236, ":", C236, ":O.Data.", D236)),
IF(E236 = "AI",
          IF(ISBLANK(F236),
                    "NOP",
                    IF(ISNUMBER(SEARCH("fbAnalog", J236)),
                              _xlfn.CONCAT("fbAnalog ", F236, " SysClock.o_NewDay ", B236, ":", C236, ":I.Ch[", D236, "].Fault 0 ", B236, ":", C236, ":I.Ch[", D236, "].Data"),
                              _xlfn.CONCAT("MOVE ", B236, ":", C236, ":I.Ch[", D236, "].Data ", F236))),
IF(E236 = "AO",
          IF(ISBLANK(F236),
                    "NOP",
                    _xlfn.CONCAT("MOVE ", F236, " ", B236, ":", C236, ":O.Ch[", D236, "].Data")),
"Set Rack and Type"))))))</f>
        <v>fbAnalog PL2_4228_452_PIT_0275 SysClock.o_NewDay 0 0 0.0</v>
      </c>
    </row>
    <row r="237" spans="2:13" x14ac:dyDescent="0.25">
      <c r="B237" t="s">
        <v>1036</v>
      </c>
      <c r="E237" t="s">
        <v>7</v>
      </c>
      <c r="F237" t="s">
        <v>1063</v>
      </c>
      <c r="G237" t="s">
        <v>784</v>
      </c>
      <c r="H237" s="22" t="s">
        <v>1091</v>
      </c>
      <c r="I237" s="22"/>
      <c r="J237" t="s">
        <v>631</v>
      </c>
      <c r="K237" s="22"/>
      <c r="M237" s="18" t="str">
        <f t="shared" si="10"/>
        <v>fbAnalog PL2_4228_461_TIT_0282 SysClock.o_NewDay 0 0 0.0</v>
      </c>
    </row>
    <row r="238" spans="2:13" x14ac:dyDescent="0.25">
      <c r="B238" t="s">
        <v>1036</v>
      </c>
      <c r="E238" t="s">
        <v>7</v>
      </c>
      <c r="F238" t="s">
        <v>1079</v>
      </c>
      <c r="G238" t="s">
        <v>784</v>
      </c>
      <c r="H238" s="22" t="s">
        <v>1088</v>
      </c>
      <c r="I238" s="22"/>
      <c r="J238" t="s">
        <v>631</v>
      </c>
      <c r="M238" s="18" t="str">
        <f t="shared" si="10"/>
        <v>fbAnalog PL2_4228_461_TIT_0283A SysClock.o_NewDay 0 0 0.0</v>
      </c>
    </row>
    <row r="239" spans="2:13" x14ac:dyDescent="0.25">
      <c r="B239" t="s">
        <v>1036</v>
      </c>
      <c r="E239" t="s">
        <v>7</v>
      </c>
      <c r="F239" t="s">
        <v>1080</v>
      </c>
      <c r="G239" t="s">
        <v>784</v>
      </c>
      <c r="H239" s="22" t="s">
        <v>1089</v>
      </c>
      <c r="I239" s="22"/>
      <c r="J239" t="s">
        <v>631</v>
      </c>
      <c r="M239" s="18" t="str">
        <f t="shared" si="10"/>
        <v>fbAnalog PL2_4228_461_TIT_0283B SysClock.o_NewDay 0 0 0.0</v>
      </c>
    </row>
    <row r="240" spans="2:13" x14ac:dyDescent="0.25">
      <c r="B240" t="s">
        <v>1036</v>
      </c>
      <c r="E240" t="s">
        <v>7</v>
      </c>
      <c r="F240" t="s">
        <v>1064</v>
      </c>
      <c r="G240" t="s">
        <v>784</v>
      </c>
      <c r="H240" s="22" t="s">
        <v>1090</v>
      </c>
      <c r="I240" s="22"/>
      <c r="J240" t="s">
        <v>631</v>
      </c>
      <c r="M240" s="18" t="str">
        <f t="shared" si="10"/>
        <v>fbAnalog PL2_4228_461_TIT_0284 SysClock.o_NewDay 0 0 0.0</v>
      </c>
    </row>
    <row r="241" spans="2:13" x14ac:dyDescent="0.25">
      <c r="B241" t="s">
        <v>1036</v>
      </c>
      <c r="E241" t="s">
        <v>7</v>
      </c>
      <c r="F241" t="s">
        <v>1411</v>
      </c>
      <c r="G241" t="s">
        <v>784</v>
      </c>
      <c r="H241" s="22" t="s">
        <v>1387</v>
      </c>
      <c r="I241" s="22"/>
      <c r="J241" t="s">
        <v>631</v>
      </c>
      <c r="M241" s="18" t="str">
        <f t="shared" si="10"/>
        <v>fbAnalog PL2_4228_452_PIT_0285 SysClock.o_NewDay 0 0 0.0</v>
      </c>
    </row>
    <row r="242" spans="2:13" x14ac:dyDescent="0.25">
      <c r="M242" s="18" t="str">
        <f t="shared" si="10"/>
        <v>Set Rack and Type</v>
      </c>
    </row>
    <row r="243" spans="2:13" x14ac:dyDescent="0.25">
      <c r="M243" s="18" t="str">
        <f t="shared" si="10"/>
        <v>Set Rack and Type</v>
      </c>
    </row>
    <row r="244" spans="2:13" x14ac:dyDescent="0.25">
      <c r="B244" t="s">
        <v>1036</v>
      </c>
      <c r="E244" t="s">
        <v>7</v>
      </c>
      <c r="F244" t="s">
        <v>1269</v>
      </c>
      <c r="G244" t="s">
        <v>1167</v>
      </c>
      <c r="H244" s="22" t="s">
        <v>1168</v>
      </c>
      <c r="J244" t="s">
        <v>631</v>
      </c>
      <c r="M244" s="18" t="str">
        <f t="shared" si="10"/>
        <v>fbAnalog PL2_4227_498_FIT_0131 SysClock.o_NewDay 0 0 0.0</v>
      </c>
    </row>
    <row r="245" spans="2:13" x14ac:dyDescent="0.25">
      <c r="B245" t="s">
        <v>1036</v>
      </c>
      <c r="E245" t="s">
        <v>7</v>
      </c>
      <c r="F245" t="s">
        <v>1255</v>
      </c>
      <c r="G245" t="s">
        <v>1169</v>
      </c>
      <c r="H245" s="22" t="s">
        <v>1168</v>
      </c>
      <c r="J245" t="s">
        <v>631</v>
      </c>
      <c r="M245" s="18" t="str">
        <f t="shared" si="10"/>
        <v>fbAnalog PL2_4227_498_FIT_0132 SysClock.o_NewDay 0 0 0.0</v>
      </c>
    </row>
    <row r="246" spans="2:13" x14ac:dyDescent="0.25">
      <c r="B246" t="s">
        <v>1036</v>
      </c>
      <c r="E246" t="s">
        <v>7</v>
      </c>
      <c r="F246" t="s">
        <v>1256</v>
      </c>
      <c r="G246" t="s">
        <v>1170</v>
      </c>
      <c r="H246" s="22" t="s">
        <v>1168</v>
      </c>
      <c r="J246" t="s">
        <v>631</v>
      </c>
      <c r="M246" s="18" t="str">
        <f t="shared" si="10"/>
        <v>fbAnalog PL2_4227_498_FIT_0133 SysClock.o_NewDay 0 0 0.0</v>
      </c>
    </row>
    <row r="247" spans="2:13" x14ac:dyDescent="0.25">
      <c r="B247" t="s">
        <v>1036</v>
      </c>
      <c r="E247" t="s">
        <v>7</v>
      </c>
      <c r="F247" t="s">
        <v>1257</v>
      </c>
      <c r="G247" t="s">
        <v>1171</v>
      </c>
      <c r="H247" s="22" t="s">
        <v>1168</v>
      </c>
      <c r="J247" t="s">
        <v>631</v>
      </c>
      <c r="M247" s="18" t="str">
        <f t="shared" si="10"/>
        <v>fbAnalog PL2_4227_498_FIT_0134 SysClock.o_NewDay 0 0 0.0</v>
      </c>
    </row>
    <row r="248" spans="2:13" x14ac:dyDescent="0.25">
      <c r="B248" t="s">
        <v>1036</v>
      </c>
      <c r="E248" t="s">
        <v>7</v>
      </c>
      <c r="F248" t="s">
        <v>1258</v>
      </c>
      <c r="G248" t="s">
        <v>1172</v>
      </c>
      <c r="H248" s="22" t="s">
        <v>1168</v>
      </c>
      <c r="J248" t="s">
        <v>631</v>
      </c>
      <c r="M248" s="18" t="str">
        <f t="shared" si="10"/>
        <v>fbAnalog PL2_4227_498_FIT_0135 SysClock.o_NewDay 0 0 0.0</v>
      </c>
    </row>
    <row r="249" spans="2:13" x14ac:dyDescent="0.25">
      <c r="B249" t="s">
        <v>1036</v>
      </c>
      <c r="E249" t="s">
        <v>7</v>
      </c>
      <c r="F249" t="s">
        <v>1259</v>
      </c>
      <c r="G249" t="s">
        <v>1177</v>
      </c>
      <c r="H249" s="22" t="s">
        <v>1168</v>
      </c>
      <c r="J249" t="s">
        <v>631</v>
      </c>
      <c r="M249" s="18" t="str">
        <f t="shared" si="10"/>
        <v>fbAnalog PL2_4227_498_FIT_0141 SysClock.o_NewDay 0 0 0.0</v>
      </c>
    </row>
    <row r="250" spans="2:13" x14ac:dyDescent="0.25">
      <c r="B250" t="s">
        <v>1036</v>
      </c>
      <c r="E250" t="s">
        <v>7</v>
      </c>
      <c r="F250" t="s">
        <v>1260</v>
      </c>
      <c r="G250" t="s">
        <v>1173</v>
      </c>
      <c r="H250" s="22" t="s">
        <v>1168</v>
      </c>
      <c r="J250" t="s">
        <v>631</v>
      </c>
      <c r="M250" s="18" t="str">
        <f t="shared" si="10"/>
        <v>fbAnalog PL2_4227_498_FIT_0142 SysClock.o_NewDay 0 0 0.0</v>
      </c>
    </row>
    <row r="251" spans="2:13" x14ac:dyDescent="0.25">
      <c r="B251" t="s">
        <v>1036</v>
      </c>
      <c r="E251" t="s">
        <v>7</v>
      </c>
      <c r="F251" t="s">
        <v>1261</v>
      </c>
      <c r="G251" t="s">
        <v>1174</v>
      </c>
      <c r="H251" s="22" t="s">
        <v>1168</v>
      </c>
      <c r="J251" t="s">
        <v>631</v>
      </c>
      <c r="M251" s="18" t="str">
        <f t="shared" si="10"/>
        <v>fbAnalog PL2_4227_498_FIT_0143 SysClock.o_NewDay 0 0 0.0</v>
      </c>
    </row>
    <row r="252" spans="2:13" x14ac:dyDescent="0.25">
      <c r="B252" t="s">
        <v>1036</v>
      </c>
      <c r="E252" t="s">
        <v>7</v>
      </c>
      <c r="F252" t="s">
        <v>1262</v>
      </c>
      <c r="G252" t="s">
        <v>1175</v>
      </c>
      <c r="H252" s="22" t="s">
        <v>1168</v>
      </c>
      <c r="J252" t="s">
        <v>631</v>
      </c>
      <c r="M252" s="18" t="str">
        <f t="shared" si="10"/>
        <v>fbAnalog PL2_4227_498_FIT_0144 SysClock.o_NewDay 0 0 0.0</v>
      </c>
    </row>
    <row r="253" spans="2:13" x14ac:dyDescent="0.25">
      <c r="B253" t="s">
        <v>1036</v>
      </c>
      <c r="E253" t="s">
        <v>7</v>
      </c>
      <c r="F253" t="s">
        <v>1263</v>
      </c>
      <c r="G253" t="s">
        <v>1176</v>
      </c>
      <c r="H253" s="22" t="s">
        <v>1168</v>
      </c>
      <c r="J253" t="s">
        <v>631</v>
      </c>
      <c r="M253" s="18" t="str">
        <f t="shared" si="10"/>
        <v>fbAnalog PL2_4227_498_FIT_0145 SysClock.o_NewDay 0 0 0.0</v>
      </c>
    </row>
    <row r="254" spans="2:13" x14ac:dyDescent="0.25">
      <c r="B254" t="s">
        <v>1036</v>
      </c>
      <c r="E254" t="s">
        <v>7</v>
      </c>
      <c r="F254" t="s">
        <v>1264</v>
      </c>
      <c r="G254" t="s">
        <v>1178</v>
      </c>
      <c r="H254" s="22" t="s">
        <v>1168</v>
      </c>
      <c r="J254" t="s">
        <v>631</v>
      </c>
      <c r="M254" s="18" t="str">
        <f t="shared" si="10"/>
        <v>fbAnalog PL2_4227_498_FIT_0151 SysClock.o_NewDay 0 0 0.0</v>
      </c>
    </row>
    <row r="255" spans="2:13" x14ac:dyDescent="0.25">
      <c r="B255" t="s">
        <v>1036</v>
      </c>
      <c r="E255" t="s">
        <v>7</v>
      </c>
      <c r="F255" t="s">
        <v>1265</v>
      </c>
      <c r="G255" t="s">
        <v>1179</v>
      </c>
      <c r="H255" s="22" t="s">
        <v>1168</v>
      </c>
      <c r="J255" t="s">
        <v>631</v>
      </c>
      <c r="M255" s="18" t="str">
        <f t="shared" si="10"/>
        <v>fbAnalog PL2_4227_498_FIT_0152 SysClock.o_NewDay 0 0 0.0</v>
      </c>
    </row>
    <row r="256" spans="2:13" x14ac:dyDescent="0.25">
      <c r="B256" t="s">
        <v>1036</v>
      </c>
      <c r="E256" t="s">
        <v>7</v>
      </c>
      <c r="F256" t="s">
        <v>1266</v>
      </c>
      <c r="G256" t="s">
        <v>1180</v>
      </c>
      <c r="H256" s="22" t="s">
        <v>1168</v>
      </c>
      <c r="J256" t="s">
        <v>631</v>
      </c>
      <c r="M256" s="18" t="str">
        <f t="shared" si="10"/>
        <v>fbAnalog PL2_4227_498_FIT_0153 SysClock.o_NewDay 0 0 0.0</v>
      </c>
    </row>
    <row r="257" spans="2:13" x14ac:dyDescent="0.25">
      <c r="B257" t="s">
        <v>1036</v>
      </c>
      <c r="E257" t="s">
        <v>7</v>
      </c>
      <c r="F257" t="s">
        <v>1267</v>
      </c>
      <c r="G257" t="s">
        <v>1181</v>
      </c>
      <c r="H257" s="22" t="s">
        <v>1168</v>
      </c>
      <c r="J257" t="s">
        <v>631</v>
      </c>
      <c r="M257" s="18" t="str">
        <f t="shared" si="10"/>
        <v>fbAnalog PL2_4227_498_FIT_0154 SysClock.o_NewDay 0 0 0.0</v>
      </c>
    </row>
    <row r="258" spans="2:13" x14ac:dyDescent="0.25">
      <c r="B258" t="s">
        <v>1036</v>
      </c>
      <c r="E258" t="s">
        <v>7</v>
      </c>
      <c r="F258" t="s">
        <v>1268</v>
      </c>
      <c r="G258" t="s">
        <v>1182</v>
      </c>
      <c r="H258" s="22" t="s">
        <v>1168</v>
      </c>
      <c r="J258" t="s">
        <v>631</v>
      </c>
      <c r="M258" s="18" t="str">
        <f t="shared" si="10"/>
        <v>fbAnalog PL2_4227_498_FIT_0155 SysClock.o_NewDay 0 0 0.0</v>
      </c>
    </row>
    <row r="259" spans="2:13" x14ac:dyDescent="0.25">
      <c r="B259" t="s">
        <v>1036</v>
      </c>
      <c r="E259" t="s">
        <v>7</v>
      </c>
      <c r="F259" t="s">
        <v>1378</v>
      </c>
      <c r="G259" t="s">
        <v>1381</v>
      </c>
      <c r="H259" s="22" t="s">
        <v>1168</v>
      </c>
      <c r="J259" t="s">
        <v>631</v>
      </c>
      <c r="M259" s="18" t="str">
        <f t="shared" ref="M259:M269" si="15">IF(B259 = "P2P",
          "Real P2P Condition",
IF(B259 = "Dummy P2P",
          IF(E259 = "DI",
                    IF(J259 = "fbDigital",
                              _xlfn.CONCAT("fbDigital ", F259, " ", F259, ".i_Raw"),
                              _xlfn.CONCAT("XIC Always_False OTE ", F259)),
                    IF(E259 = "DO",
                              _xlfn.CONCAT("XIC ", F259, " OTE Communication_Command_"),
                              IF(E259 = "AI",
                                        IF(J259 = "fbAnalog",
                                                  _xlfn.CONCAT("fbAnalog ", F259, " SysClock.o_NewDay 0 0 0.0"),
                                                  _xlfn.CONCAT("MOVE 0.0 ", F259)),
                                        IF(E259 = "AO",
                                                  _xlfn.CONCAT("MOVE ", F259, " Communication_Setpoint"),
                                                  "Set Type")))),
IF(E259 = "DI",
          IF(ISBLANK(F259),
                    _xlfn.CONCAT("XIC ", B259, ":", C259, ":I.Data.", D259, " NOP"),
                    IF(ISNUMBER(SEARCH("fbDigital", J259)),
                              _xlfn.CONCAT("fbDigital ", F259, " ", B259, ":", C259, ":I.Data.", D259),
                              _xlfn.CONCAT("XIC ", B259, ":", C259, ":I.Data.", D259, " OTE ", F259))),
IF(E259 = "DO",
          IF(ISBLANK(F259),
                    _xlfn.CONCAT("XIC ",B259, ":", C259, ":O.Data.", D259, " OTE ", B259, ":", C259, ":O.Data.", D259),
                    _xlfn.CONCAT("XIC ", F259, " OTE ", B259, ":", C259, ":O.Data.", D259)),
IF(E259 = "AI",
          IF(ISBLANK(F259),
                    "NOP",
                    IF(ISNUMBER(SEARCH("fbAnalog", J259)),
                              _xlfn.CONCAT("fbAnalog ", F259, " SysClock.o_NewDay ", B259, ":", C259, ":I.Ch[", D259, "].Fault 0 ", B259, ":", C259, ":I.Ch[", D259, "].Data"),
                              _xlfn.CONCAT("MOVE ", B259, ":", C259, ":I.Ch[", D259, "].Data ", F259))),
IF(E259 = "AO",
          IF(ISBLANK(F259),
                    "NOP",
                    _xlfn.CONCAT("MOVE ", F259, " ", B259, ":", C259, ":O.Ch[", D259, "].Data")),
"Set Rack and Type"))))))</f>
        <v>fbAnalog PL2_4228_498_FIT_0001 SysClock.o_NewDay 0 0 0.0</v>
      </c>
    </row>
    <row r="260" spans="2:13" x14ac:dyDescent="0.25">
      <c r="B260" t="s">
        <v>1036</v>
      </c>
      <c r="E260" t="s">
        <v>7</v>
      </c>
      <c r="F260" t="s">
        <v>1379</v>
      </c>
      <c r="G260" t="s">
        <v>1381</v>
      </c>
      <c r="H260" s="22" t="s">
        <v>1380</v>
      </c>
      <c r="J260" t="s">
        <v>631</v>
      </c>
      <c r="M260" s="18" t="str">
        <f t="shared" si="15"/>
        <v>fbAnalog PL2_4227_498_PIT_0002 SysClock.o_NewDay 0 0 0.0</v>
      </c>
    </row>
    <row r="261" spans="2:13" x14ac:dyDescent="0.25">
      <c r="B261" t="s">
        <v>1036</v>
      </c>
      <c r="E261" t="s">
        <v>7</v>
      </c>
      <c r="F261" t="s">
        <v>1492</v>
      </c>
      <c r="G261" t="s">
        <v>1509</v>
      </c>
      <c r="H261" s="22" t="s">
        <v>1510</v>
      </c>
      <c r="J261" t="s">
        <v>631</v>
      </c>
      <c r="L261"/>
      <c r="M261" s="18" t="str">
        <f t="shared" si="15"/>
        <v>fbAnalog PL2_4227_433_AIT_0131_DO SysClock.o_NewDay 0 0 0.0</v>
      </c>
    </row>
    <row r="262" spans="2:13" x14ac:dyDescent="0.25">
      <c r="B262" t="s">
        <v>1036</v>
      </c>
      <c r="E262" t="s">
        <v>7</v>
      </c>
      <c r="F262" t="s">
        <v>1493</v>
      </c>
      <c r="G262" t="s">
        <v>1501</v>
      </c>
      <c r="H262" s="22" t="s">
        <v>1510</v>
      </c>
      <c r="J262" t="s">
        <v>631</v>
      </c>
      <c r="L262"/>
      <c r="M262" s="18" t="str">
        <f t="shared" si="15"/>
        <v>fbAnalog PL2_4227_433_AIT_0133_DO SysClock.o_NewDay 0 0 0.0</v>
      </c>
    </row>
    <row r="263" spans="2:13" x14ac:dyDescent="0.25">
      <c r="B263" t="s">
        <v>1036</v>
      </c>
      <c r="E263" t="s">
        <v>7</v>
      </c>
      <c r="F263" t="s">
        <v>1494</v>
      </c>
      <c r="G263" t="s">
        <v>1502</v>
      </c>
      <c r="H263" s="22" t="s">
        <v>1510</v>
      </c>
      <c r="J263" t="s">
        <v>631</v>
      </c>
      <c r="L263"/>
      <c r="M263" s="18" t="str">
        <f t="shared" si="15"/>
        <v>fbAnalog PL2_4227_433_AIT_0135_DO SysClock.o_NewDay 0 0 0.0</v>
      </c>
    </row>
    <row r="264" spans="2:13" x14ac:dyDescent="0.25">
      <c r="B264" t="s">
        <v>1036</v>
      </c>
      <c r="E264" t="s">
        <v>7</v>
      </c>
      <c r="F264" t="s">
        <v>1495</v>
      </c>
      <c r="G264" t="s">
        <v>1503</v>
      </c>
      <c r="H264" s="22" t="s">
        <v>1510</v>
      </c>
      <c r="J264" t="s">
        <v>631</v>
      </c>
      <c r="L264"/>
      <c r="M264" s="18" t="str">
        <f t="shared" si="15"/>
        <v>fbAnalog PL2_4227_433_AIT_0141_DO SysClock.o_NewDay 0 0 0.0</v>
      </c>
    </row>
    <row r="265" spans="2:13" x14ac:dyDescent="0.25">
      <c r="B265" t="s">
        <v>1036</v>
      </c>
      <c r="E265" t="s">
        <v>7</v>
      </c>
      <c r="F265" t="s">
        <v>1496</v>
      </c>
      <c r="G265" t="s">
        <v>1504</v>
      </c>
      <c r="H265" s="22" t="s">
        <v>1510</v>
      </c>
      <c r="J265" t="s">
        <v>631</v>
      </c>
      <c r="L265"/>
      <c r="M265" s="18" t="str">
        <f t="shared" si="15"/>
        <v>fbAnalog PL2_4227_433_AIT_0143_DO SysClock.o_NewDay 0 0 0.0</v>
      </c>
    </row>
    <row r="266" spans="2:13" x14ac:dyDescent="0.25">
      <c r="B266" t="s">
        <v>1036</v>
      </c>
      <c r="E266" t="s">
        <v>7</v>
      </c>
      <c r="F266" t="s">
        <v>1497</v>
      </c>
      <c r="G266" t="s">
        <v>1505</v>
      </c>
      <c r="H266" s="22" t="s">
        <v>1510</v>
      </c>
      <c r="J266" t="s">
        <v>631</v>
      </c>
      <c r="L266"/>
      <c r="M266" s="18" t="str">
        <f t="shared" si="15"/>
        <v>fbAnalog PL2_4227_433_AIT_0145_DO SysClock.o_NewDay 0 0 0.0</v>
      </c>
    </row>
    <row r="267" spans="2:13" x14ac:dyDescent="0.25">
      <c r="B267" t="s">
        <v>1036</v>
      </c>
      <c r="E267" t="s">
        <v>7</v>
      </c>
      <c r="F267" t="s">
        <v>1498</v>
      </c>
      <c r="G267" t="s">
        <v>1506</v>
      </c>
      <c r="H267" s="22" t="s">
        <v>1510</v>
      </c>
      <c r="J267" t="s">
        <v>631</v>
      </c>
      <c r="L267"/>
      <c r="M267" s="18" t="str">
        <f t="shared" si="15"/>
        <v>fbAnalog PL2_4227_433_AIT_0151_DO SysClock.o_NewDay 0 0 0.0</v>
      </c>
    </row>
    <row r="268" spans="2:13" x14ac:dyDescent="0.25">
      <c r="B268" t="s">
        <v>1036</v>
      </c>
      <c r="E268" t="s">
        <v>7</v>
      </c>
      <c r="F268" t="s">
        <v>1499</v>
      </c>
      <c r="G268" t="s">
        <v>1507</v>
      </c>
      <c r="H268" s="22" t="s">
        <v>1510</v>
      </c>
      <c r="J268" t="s">
        <v>631</v>
      </c>
      <c r="L268"/>
      <c r="M268" s="18" t="str">
        <f t="shared" si="15"/>
        <v>fbAnalog PL2_4227_433_AIT_0153_DO SysClock.o_NewDay 0 0 0.0</v>
      </c>
    </row>
    <row r="269" spans="2:13" x14ac:dyDescent="0.25">
      <c r="B269" t="s">
        <v>1036</v>
      </c>
      <c r="E269" t="s">
        <v>7</v>
      </c>
      <c r="F269" t="s">
        <v>1500</v>
      </c>
      <c r="G269" t="s">
        <v>1508</v>
      </c>
      <c r="H269" s="22" t="s">
        <v>1510</v>
      </c>
      <c r="J269" t="s">
        <v>631</v>
      </c>
      <c r="L269"/>
      <c r="M269" s="18" t="str">
        <f t="shared" si="15"/>
        <v>fbAnalog PL2_4227_433_AIT_0155_DO SysClock.o_NewDay 0 0 0.0</v>
      </c>
    </row>
    <row r="270" spans="2:13" x14ac:dyDescent="0.25">
      <c r="B270" t="s">
        <v>1036</v>
      </c>
      <c r="E270" t="s">
        <v>7</v>
      </c>
      <c r="F270" t="s">
        <v>1622</v>
      </c>
      <c r="G270" t="s">
        <v>1617</v>
      </c>
      <c r="H270" s="22" t="s">
        <v>1618</v>
      </c>
      <c r="J270" t="s">
        <v>631</v>
      </c>
      <c r="L270"/>
      <c r="M270" s="18" t="str">
        <f t="shared" ref="M270" si="16">IF(B270 = "P2P",
          "Real P2P Condition",
IF(B270 = "Dummy P2P",
          IF(E270 = "DI",
                    IF(J270 = "fbDigital",
                              _xlfn.CONCAT("fbDigital ", F270, " ", F270, ".i_Raw"),
                              _xlfn.CONCAT("XIC Always_False OTE ", F270)),
                    IF(E270 = "DO",
                              _xlfn.CONCAT("XIC ", F270, " OTE Communication_Command_"),
                              IF(E270 = "AI",
                                        IF(J270 = "fbAnalog",
                                                  _xlfn.CONCAT("fbAnalog ", F270, " SysClock.o_NewDay 0 0 0.0"),
                                                  _xlfn.CONCAT("MOVE 0.0 ", F270)),
                                        IF(E270 = "AO",
                                                  _xlfn.CONCAT("MOVE ", F270, " Communication_Setpoint"),
                                                  "Set Type")))),
IF(E270 = "DI",
          IF(ISBLANK(F270),
                    _xlfn.CONCAT("XIC ", B270, ":", C270, ":I.Data.", D270, " NOP"),
                    IF(ISNUMBER(SEARCH("fbDigital", J270)),
                              _xlfn.CONCAT("fbDigital ", F270, " ", B270, ":", C270, ":I.Data.", D270),
                              _xlfn.CONCAT("XIC ", B270, ":", C270, ":I.Data.", D270, " OTE ", F270))),
IF(E270 = "DO",
          IF(ISBLANK(F270),
                    _xlfn.CONCAT("XIC ",B270, ":", C270, ":O.Data.", D270, " OTE ", B270, ":", C270, ":O.Data.", D270),
                    _xlfn.CONCAT("XIC ", F270, " OTE ", B270, ":", C270, ":O.Data.", D270)),
IF(E270 = "AI",
          IF(ISBLANK(F270),
                    "NOP",
                    IF(ISNUMBER(SEARCH("fbAnalog", J270)),
                              _xlfn.CONCAT("fbAnalog ", F270, " SysClock.o_NewDay ", B270, ":", C270, ":I.Ch[", D270, "].Fault 0 ", B270, ":", C270, ":I.Ch[", D270, "].Data"),
                              _xlfn.CONCAT("MOVE ", B270, ":", C270, ":I.Ch[", D270, "].Data ", F270))),
IF(E270 = "AO",
          IF(ISBLANK(F270),
                    "NOP",
                    _xlfn.CONCAT("MOVE ", F270, " ", B270, ":", C270, ":O.Ch[", D270, "].Data")),
"Set Rack and Type"))))))</f>
        <v>fbAnalog PL2_4227_431_AIT_0064_NH3 SysClock.o_NewDay 0 0 0.0</v>
      </c>
    </row>
    <row r="271" spans="2:13" x14ac:dyDescent="0.25">
      <c r="M271" s="18"/>
    </row>
    <row r="272" spans="2:13" x14ac:dyDescent="0.25">
      <c r="B272" t="s">
        <v>1036</v>
      </c>
      <c r="E272" t="s">
        <v>5</v>
      </c>
      <c r="F272" t="s">
        <v>1105</v>
      </c>
      <c r="G272" t="s">
        <v>1147</v>
      </c>
      <c r="H272" t="s">
        <v>1146</v>
      </c>
      <c r="J272" t="s">
        <v>632</v>
      </c>
      <c r="L272"/>
      <c r="M272" s="18" t="str">
        <f t="shared" si="10"/>
        <v>fbDigital PL2_4228_110_SPD_0220_YAF PL2_4228_110_SPD_0220_YAF.i_Raw</v>
      </c>
    </row>
    <row r="273" spans="2:13" x14ac:dyDescent="0.25">
      <c r="B273" t="s">
        <v>1036</v>
      </c>
      <c r="E273" t="s">
        <v>5</v>
      </c>
      <c r="F273" t="s">
        <v>1102</v>
      </c>
      <c r="G273" t="s">
        <v>1147</v>
      </c>
      <c r="H273" t="s">
        <v>1145</v>
      </c>
      <c r="J273" t="s">
        <v>632</v>
      </c>
      <c r="L273"/>
      <c r="M273" s="18" t="str">
        <f t="shared" si="10"/>
        <v>fbDigital PL2_4228_110_UPS_0220_JSB PL2_4228_110_UPS_0220_JSB.i_Raw</v>
      </c>
    </row>
    <row r="274" spans="2:13" x14ac:dyDescent="0.25">
      <c r="B274" t="s">
        <v>1036</v>
      </c>
      <c r="E274" t="s">
        <v>5</v>
      </c>
      <c r="F274" t="s">
        <v>1101</v>
      </c>
      <c r="G274" t="s">
        <v>1147</v>
      </c>
      <c r="H274" t="s">
        <v>1144</v>
      </c>
      <c r="J274" t="s">
        <v>632</v>
      </c>
      <c r="L274"/>
      <c r="M274" s="18" t="str">
        <f t="shared" si="10"/>
        <v>fbDigital PL2_4228_110_UPS_0220_YAF PL2_4228_110_UPS_0220_YAF.i_Raw</v>
      </c>
    </row>
    <row r="275" spans="2:13" x14ac:dyDescent="0.25">
      <c r="B275" t="s">
        <v>1036</v>
      </c>
      <c r="E275" t="s">
        <v>5</v>
      </c>
      <c r="F275" t="s">
        <v>1143</v>
      </c>
      <c r="G275" t="s">
        <v>777</v>
      </c>
      <c r="H275" t="s">
        <v>1141</v>
      </c>
      <c r="J275" t="s">
        <v>632</v>
      </c>
      <c r="L275"/>
      <c r="M275" s="18" t="str">
        <f t="shared" si="10"/>
        <v>fbDigital PL2_4228_110_LVSP_0210_YAF PL2_4228_110_LVSP_0210_YAF.i_Raw</v>
      </c>
    </row>
    <row r="276" spans="2:13" x14ac:dyDescent="0.25">
      <c r="B276" t="s">
        <v>1036</v>
      </c>
      <c r="E276" t="s">
        <v>5</v>
      </c>
      <c r="F276" t="s">
        <v>1142</v>
      </c>
      <c r="G276" t="s">
        <v>777</v>
      </c>
      <c r="H276" t="s">
        <v>103</v>
      </c>
      <c r="J276" t="s">
        <v>632</v>
      </c>
      <c r="L276"/>
      <c r="M276" s="18" t="str">
        <f t="shared" si="10"/>
        <v>fbDigital PL2_4228_110_VFD_0210_YAF PL2_4228_110_VFD_0210_YAF.i_Raw</v>
      </c>
    </row>
    <row r="277" spans="2:13" x14ac:dyDescent="0.25">
      <c r="B277" t="s">
        <v>1036</v>
      </c>
      <c r="E277" t="s">
        <v>5</v>
      </c>
      <c r="F277" t="s">
        <v>1100</v>
      </c>
      <c r="G277" t="s">
        <v>777</v>
      </c>
      <c r="H277" t="s">
        <v>104</v>
      </c>
      <c r="J277" t="s">
        <v>632</v>
      </c>
      <c r="L277"/>
      <c r="M277" s="18" t="str">
        <f t="shared" si="10"/>
        <v>fbDigital PL2_4228_321_BLR_0213_YAE PL2_4228_321_BLR_0213_YAE.i_Raw</v>
      </c>
    </row>
    <row r="278" spans="2:13" x14ac:dyDescent="0.25">
      <c r="B278" t="s">
        <v>1036</v>
      </c>
      <c r="E278" t="s">
        <v>5</v>
      </c>
      <c r="F278" t="s">
        <v>1099</v>
      </c>
      <c r="G278" t="s">
        <v>777</v>
      </c>
      <c r="H278" t="s">
        <v>101</v>
      </c>
      <c r="J278" t="s">
        <v>632</v>
      </c>
      <c r="L278"/>
      <c r="M278" s="18" t="str">
        <f t="shared" si="10"/>
        <v>fbDigital PL2_4228_321_BLR_0213_YAF PL2_4228_321_BLR_0213_YAF.i_Raw</v>
      </c>
    </row>
    <row r="279" spans="2:13" x14ac:dyDescent="0.25">
      <c r="B279" t="s">
        <v>1036</v>
      </c>
      <c r="E279" t="s">
        <v>5</v>
      </c>
      <c r="F279" t="s">
        <v>1104</v>
      </c>
      <c r="G279" t="s">
        <v>778</v>
      </c>
      <c r="H279" t="s">
        <v>1141</v>
      </c>
      <c r="J279" t="s">
        <v>632</v>
      </c>
      <c r="L279"/>
      <c r="M279" s="18" t="str">
        <f t="shared" si="10"/>
        <v>fbDigital PL2_4228_110_LVSP_0220_YAF PL2_4228_110_LVSP_0220_YAF.i_Raw</v>
      </c>
    </row>
    <row r="280" spans="2:13" x14ac:dyDescent="0.25">
      <c r="B280" t="s">
        <v>1036</v>
      </c>
      <c r="E280" t="s">
        <v>5</v>
      </c>
      <c r="F280" t="s">
        <v>1103</v>
      </c>
      <c r="G280" t="s">
        <v>778</v>
      </c>
      <c r="H280" t="s">
        <v>103</v>
      </c>
      <c r="J280" t="s">
        <v>632</v>
      </c>
      <c r="L280"/>
      <c r="M280" s="18" t="str">
        <f t="shared" si="10"/>
        <v>fbDigital PL2_4228_110_VFD_0220_YAF PL2_4228_110_VFD_0220_YAF.i_Raw</v>
      </c>
    </row>
    <row r="281" spans="2:13" x14ac:dyDescent="0.25">
      <c r="B281" t="s">
        <v>1036</v>
      </c>
      <c r="E281" t="s">
        <v>5</v>
      </c>
      <c r="F281" t="s">
        <v>1107</v>
      </c>
      <c r="G281" t="s">
        <v>778</v>
      </c>
      <c r="H281" t="s">
        <v>104</v>
      </c>
      <c r="J281" t="s">
        <v>632</v>
      </c>
      <c r="L281"/>
      <c r="M281" s="18" t="str">
        <f t="shared" si="10"/>
        <v>fbDigital PL2_4228_321_BLR_0223_YAE PL2_4228_321_BLR_0223_YAE.i_Raw</v>
      </c>
    </row>
    <row r="282" spans="2:13" x14ac:dyDescent="0.25">
      <c r="B282" t="s">
        <v>1036</v>
      </c>
      <c r="E282" t="s">
        <v>5</v>
      </c>
      <c r="F282" t="s">
        <v>1106</v>
      </c>
      <c r="G282" t="s">
        <v>778</v>
      </c>
      <c r="H282" t="s">
        <v>101</v>
      </c>
      <c r="J282" t="s">
        <v>632</v>
      </c>
      <c r="L282"/>
      <c r="M282" s="18" t="str">
        <f t="shared" si="10"/>
        <v>fbDigital PL2_4228_321_BLR_0223_YAF PL2_4228_321_BLR_0223_YAF.i_Raw</v>
      </c>
    </row>
    <row r="283" spans="2:13" x14ac:dyDescent="0.25">
      <c r="B283" t="s">
        <v>1036</v>
      </c>
      <c r="E283" t="s">
        <v>5</v>
      </c>
      <c r="F283" t="s">
        <v>1116</v>
      </c>
      <c r="G283" t="s">
        <v>1148</v>
      </c>
      <c r="H283" t="s">
        <v>1146</v>
      </c>
      <c r="J283" t="s">
        <v>632</v>
      </c>
      <c r="L283"/>
      <c r="M283" s="18" t="str">
        <f t="shared" si="10"/>
        <v>fbDigital PL2_4228_110_SPD_0240_YAF PL2_4228_110_SPD_0240_YAF.i_Raw</v>
      </c>
    </row>
    <row r="284" spans="2:13" x14ac:dyDescent="0.25">
      <c r="B284" t="s">
        <v>1036</v>
      </c>
      <c r="E284" t="s">
        <v>5</v>
      </c>
      <c r="F284" t="s">
        <v>1113</v>
      </c>
      <c r="G284" t="s">
        <v>1148</v>
      </c>
      <c r="H284" t="s">
        <v>1145</v>
      </c>
      <c r="J284" t="s">
        <v>632</v>
      </c>
      <c r="L284"/>
      <c r="M284" s="18" t="str">
        <f t="shared" si="10"/>
        <v>fbDigital PL2_4228_110_UPS_0240_JSB PL2_4228_110_UPS_0240_JSB.i_Raw</v>
      </c>
    </row>
    <row r="285" spans="2:13" x14ac:dyDescent="0.25">
      <c r="B285" t="s">
        <v>1036</v>
      </c>
      <c r="E285" t="s">
        <v>5</v>
      </c>
      <c r="F285" t="s">
        <v>1112</v>
      </c>
      <c r="G285" t="s">
        <v>1148</v>
      </c>
      <c r="H285" t="s">
        <v>1144</v>
      </c>
      <c r="J285" t="s">
        <v>632</v>
      </c>
      <c r="L285"/>
      <c r="M285" s="18" t="str">
        <f t="shared" si="10"/>
        <v>fbDigital PL2_4228_110_UPS_0240_YAF PL2_4228_110_UPS_0240_YAF.i_Raw</v>
      </c>
    </row>
    <row r="286" spans="2:13" x14ac:dyDescent="0.25">
      <c r="B286" t="s">
        <v>1036</v>
      </c>
      <c r="E286" t="s">
        <v>5</v>
      </c>
      <c r="F286" t="s">
        <v>1109</v>
      </c>
      <c r="G286" t="s">
        <v>780</v>
      </c>
      <c r="H286" t="s">
        <v>1141</v>
      </c>
      <c r="J286" t="s">
        <v>632</v>
      </c>
      <c r="L286"/>
      <c r="M286" s="18" t="str">
        <f t="shared" si="10"/>
        <v>fbDigital PL2_4228_110_LVSP_0230_YAF PL2_4228_110_LVSP_0230_YAF.i_Raw</v>
      </c>
    </row>
    <row r="287" spans="2:13" x14ac:dyDescent="0.25">
      <c r="B287" t="s">
        <v>1036</v>
      </c>
      <c r="E287" t="s">
        <v>5</v>
      </c>
      <c r="F287" t="s">
        <v>1108</v>
      </c>
      <c r="G287" t="s">
        <v>780</v>
      </c>
      <c r="H287" t="s">
        <v>103</v>
      </c>
      <c r="J287" t="s">
        <v>632</v>
      </c>
      <c r="L287"/>
      <c r="M287" s="18" t="str">
        <f t="shared" si="10"/>
        <v>fbDigital PL2_4228_110_VFD_0230_YAF PL2_4228_110_VFD_0230_YAF.i_Raw</v>
      </c>
    </row>
    <row r="288" spans="2:13" x14ac:dyDescent="0.25">
      <c r="B288" t="s">
        <v>1036</v>
      </c>
      <c r="E288" t="s">
        <v>5</v>
      </c>
      <c r="F288" t="s">
        <v>1111</v>
      </c>
      <c r="G288" t="s">
        <v>780</v>
      </c>
      <c r="H288" t="s">
        <v>104</v>
      </c>
      <c r="J288" t="s">
        <v>632</v>
      </c>
      <c r="L288"/>
      <c r="M288" s="18" t="str">
        <f t="shared" si="10"/>
        <v>fbDigital PL2_4228_321_BLR_0233_YAE PL2_4228_321_BLR_0233_YAE.i_Raw</v>
      </c>
    </row>
    <row r="289" spans="2:13" x14ac:dyDescent="0.25">
      <c r="B289" t="s">
        <v>1036</v>
      </c>
      <c r="E289" t="s">
        <v>5</v>
      </c>
      <c r="F289" t="s">
        <v>1110</v>
      </c>
      <c r="G289" t="s">
        <v>780</v>
      </c>
      <c r="H289" t="s">
        <v>101</v>
      </c>
      <c r="J289" t="s">
        <v>632</v>
      </c>
      <c r="L289"/>
      <c r="M289" s="18" t="str">
        <f t="shared" si="10"/>
        <v>fbDigital PL2_4228_321_BLR_0233_YAF PL2_4228_321_BLR_0233_YAF.i_Raw</v>
      </c>
    </row>
    <row r="290" spans="2:13" x14ac:dyDescent="0.25">
      <c r="B290" t="s">
        <v>1036</v>
      </c>
      <c r="E290" t="s">
        <v>5</v>
      </c>
      <c r="F290" t="s">
        <v>1115</v>
      </c>
      <c r="G290" t="s">
        <v>779</v>
      </c>
      <c r="H290" t="s">
        <v>1141</v>
      </c>
      <c r="J290" t="s">
        <v>632</v>
      </c>
      <c r="L290"/>
      <c r="M290" s="18" t="str">
        <f t="shared" si="10"/>
        <v>fbDigital PL2_4228_110_LVSP_0240_YAF PL2_4228_110_LVSP_0240_YAF.i_Raw</v>
      </c>
    </row>
    <row r="291" spans="2:13" x14ac:dyDescent="0.25">
      <c r="B291" t="s">
        <v>1036</v>
      </c>
      <c r="E291" t="s">
        <v>5</v>
      </c>
      <c r="F291" t="s">
        <v>1114</v>
      </c>
      <c r="G291" t="s">
        <v>779</v>
      </c>
      <c r="H291" t="s">
        <v>103</v>
      </c>
      <c r="J291" t="s">
        <v>632</v>
      </c>
      <c r="L291"/>
      <c r="M291" s="18" t="str">
        <f t="shared" si="10"/>
        <v>fbDigital PL2_4228_110_VFD_0240_YAF PL2_4228_110_VFD_0240_YAF.i_Raw</v>
      </c>
    </row>
    <row r="292" spans="2:13" x14ac:dyDescent="0.25">
      <c r="B292" t="s">
        <v>1036</v>
      </c>
      <c r="E292" t="s">
        <v>5</v>
      </c>
      <c r="F292" t="s">
        <v>1118</v>
      </c>
      <c r="G292" t="s">
        <v>779</v>
      </c>
      <c r="H292" t="s">
        <v>104</v>
      </c>
      <c r="J292" t="s">
        <v>632</v>
      </c>
      <c r="L292"/>
      <c r="M292" s="18" t="str">
        <f t="shared" si="10"/>
        <v>fbDigital PL2_4228_321_BLR_0243_YAE PL2_4228_321_BLR_0243_YAE.i_Raw</v>
      </c>
    </row>
    <row r="293" spans="2:13" x14ac:dyDescent="0.25">
      <c r="B293" t="s">
        <v>1036</v>
      </c>
      <c r="E293" t="s">
        <v>5</v>
      </c>
      <c r="F293" t="s">
        <v>1117</v>
      </c>
      <c r="G293" t="s">
        <v>779</v>
      </c>
      <c r="H293" t="s">
        <v>101</v>
      </c>
      <c r="J293" t="s">
        <v>632</v>
      </c>
      <c r="L293"/>
      <c r="M293" s="18" t="str">
        <f t="shared" si="10"/>
        <v>fbDigital PL2_4228_321_BLR_0243_YAF PL2_4228_321_BLR_0243_YAF.i_Raw</v>
      </c>
    </row>
    <row r="294" spans="2:13" x14ac:dyDescent="0.25">
      <c r="B294" t="s">
        <v>1036</v>
      </c>
      <c r="E294" t="s">
        <v>5</v>
      </c>
      <c r="F294" t="s">
        <v>1127</v>
      </c>
      <c r="G294" t="s">
        <v>1149</v>
      </c>
      <c r="H294" t="s">
        <v>1146</v>
      </c>
      <c r="J294" t="s">
        <v>632</v>
      </c>
      <c r="L294"/>
      <c r="M294" s="18" t="str">
        <f t="shared" si="10"/>
        <v>fbDigital PL2_4228_110_SPD_0260_YAF PL2_4228_110_SPD_0260_YAF.i_Raw</v>
      </c>
    </row>
    <row r="295" spans="2:13" x14ac:dyDescent="0.25">
      <c r="B295" t="s">
        <v>1036</v>
      </c>
      <c r="E295" t="s">
        <v>5</v>
      </c>
      <c r="F295" t="s">
        <v>1124</v>
      </c>
      <c r="G295" t="s">
        <v>1149</v>
      </c>
      <c r="H295" t="s">
        <v>1145</v>
      </c>
      <c r="J295" t="s">
        <v>632</v>
      </c>
      <c r="L295"/>
      <c r="M295" s="18" t="str">
        <f t="shared" si="10"/>
        <v>fbDigital PL2_4228_110_UPS_0260_JSB PL2_4228_110_UPS_0260_JSB.i_Raw</v>
      </c>
    </row>
    <row r="296" spans="2:13" x14ac:dyDescent="0.25">
      <c r="B296" t="s">
        <v>1036</v>
      </c>
      <c r="E296" t="s">
        <v>5</v>
      </c>
      <c r="F296" t="s">
        <v>1123</v>
      </c>
      <c r="G296" t="s">
        <v>1149</v>
      </c>
      <c r="H296" t="s">
        <v>1144</v>
      </c>
      <c r="J296" t="s">
        <v>632</v>
      </c>
      <c r="L296"/>
      <c r="M296" s="18" t="str">
        <f t="shared" si="10"/>
        <v>fbDigital PL2_4228_110_UPS_0260_YAF PL2_4228_110_UPS_0260_YAF.i_Raw</v>
      </c>
    </row>
    <row r="297" spans="2:13" x14ac:dyDescent="0.25">
      <c r="B297" t="s">
        <v>1036</v>
      </c>
      <c r="E297" t="s">
        <v>5</v>
      </c>
      <c r="F297" t="s">
        <v>1120</v>
      </c>
      <c r="G297" t="s">
        <v>782</v>
      </c>
      <c r="H297" t="s">
        <v>1141</v>
      </c>
      <c r="J297" t="s">
        <v>632</v>
      </c>
      <c r="L297"/>
      <c r="M297" s="18" t="str">
        <f t="shared" si="10"/>
        <v>fbDigital PL2_4228_110_LVSP_0250_YAF PL2_4228_110_LVSP_0250_YAF.i_Raw</v>
      </c>
    </row>
    <row r="298" spans="2:13" x14ac:dyDescent="0.25">
      <c r="B298" t="s">
        <v>1036</v>
      </c>
      <c r="E298" t="s">
        <v>5</v>
      </c>
      <c r="F298" t="s">
        <v>1119</v>
      </c>
      <c r="G298" t="s">
        <v>782</v>
      </c>
      <c r="H298" t="s">
        <v>103</v>
      </c>
      <c r="J298" t="s">
        <v>632</v>
      </c>
      <c r="L298"/>
      <c r="M298" s="18" t="str">
        <f t="shared" ref="M298:M442" si="17">IF(B298 = "P2P",
          "Real P2P Condition",
IF(B298 = "Dummy P2P",
          IF(E298 = "DI",
                    IF(J298 = "fbDigital",
                              _xlfn.CONCAT("fbDigital ", F298, " ", F298, ".i_Raw"),
                              _xlfn.CONCAT("XIC Always_False OTE ", F298)),
                    IF(E298 = "DO",
                              _xlfn.CONCAT("XIC ", F298, " OTE Communication_Command_"),
                              IF(E298 = "AI",
                                        IF(J298 = "fbAnalog",
                                                  _xlfn.CONCAT("fbAnalog ", F298, " SysClock.o_NewDay 0 0 0.0"),
                                                  _xlfn.CONCAT("MOVE 0.0 ", F298)),
                                        IF(E298 = "AO",
                                                  _xlfn.CONCAT("MOVE ", F298, " Communication_Setpoint"),
                                                  "Set Type")))),
IF(E298 = "DI",
          IF(ISBLANK(F298),
                    _xlfn.CONCAT("XIC ", B298, ":", C298, ":I.Data.", D298, " NOP"),
                    IF(ISNUMBER(SEARCH("fbDigital", J298)),
                              _xlfn.CONCAT("fbDigital ", F298, " ", B298, ":", C298, ":I.Data.", D298),
                              _xlfn.CONCAT("XIC ", B298, ":", C298, ":I.Data.", D298, " OTE ", F298))),
IF(E298 = "DO",
          IF(ISBLANK(F298),
                    _xlfn.CONCAT("XIC ",B298, ":", C298, ":O.Data.", D298, " OTE ", B298, ":", C298, ":O.Data.", D298),
                    _xlfn.CONCAT("XIC ", F298, " OTE ", B298, ":", C298, ":O.Data.", D298)),
IF(E298 = "AI",
          IF(ISBLANK(F298),
                    "NOP",
                    IF(ISNUMBER(SEARCH("fbAnalog", J298)),
                              _xlfn.CONCAT("fbAnalog ", F298, " SysClock.o_NewDay ", B298, ":", C298, ":I.Ch[", D298, "].Fault 0 ", B298, ":", C298, ":I.Ch[", D298, "].Data"),
                              _xlfn.CONCAT("MOVE ", B298, ":", C298, ":I.Ch[", D298, "].Data ", F298))),
IF(E298 = "AO",
          IF(ISBLANK(F298),
                    "NOP",
                    _xlfn.CONCAT("MOVE ", F298, " ", B298, ":", C298, ":O.Ch[", D298, "].Data")),
"Set Rack and Type"))))))</f>
        <v>fbDigital PL2_4228_110_VFD_0250_YAF PL2_4228_110_VFD_0250_YAF.i_Raw</v>
      </c>
    </row>
    <row r="299" spans="2:13" x14ac:dyDescent="0.25">
      <c r="B299" t="s">
        <v>1036</v>
      </c>
      <c r="E299" t="s">
        <v>5</v>
      </c>
      <c r="F299" t="s">
        <v>1122</v>
      </c>
      <c r="G299" t="s">
        <v>782</v>
      </c>
      <c r="H299" t="s">
        <v>104</v>
      </c>
      <c r="J299" t="s">
        <v>632</v>
      </c>
      <c r="L299"/>
      <c r="M299" s="18" t="str">
        <f t="shared" si="17"/>
        <v>fbDigital PL2_4228_321_BLR_0253_YAE PL2_4228_321_BLR_0253_YAE.i_Raw</v>
      </c>
    </row>
    <row r="300" spans="2:13" x14ac:dyDescent="0.25">
      <c r="B300" t="s">
        <v>1036</v>
      </c>
      <c r="E300" t="s">
        <v>5</v>
      </c>
      <c r="F300" t="s">
        <v>1121</v>
      </c>
      <c r="G300" t="s">
        <v>782</v>
      </c>
      <c r="H300" t="s">
        <v>101</v>
      </c>
      <c r="J300" t="s">
        <v>632</v>
      </c>
      <c r="L300"/>
      <c r="M300" s="18" t="str">
        <f t="shared" si="17"/>
        <v>fbDigital PL2_4228_321_BLR_0253_YAF PL2_4228_321_BLR_0253_YAF.i_Raw</v>
      </c>
    </row>
    <row r="301" spans="2:13" x14ac:dyDescent="0.25">
      <c r="B301" t="s">
        <v>1036</v>
      </c>
      <c r="E301" t="s">
        <v>5</v>
      </c>
      <c r="F301" t="s">
        <v>1126</v>
      </c>
      <c r="G301" t="s">
        <v>781</v>
      </c>
      <c r="H301" t="s">
        <v>1141</v>
      </c>
      <c r="J301" t="s">
        <v>632</v>
      </c>
      <c r="L301"/>
      <c r="M301" s="18" t="str">
        <f t="shared" si="17"/>
        <v>fbDigital PL2_4228_110_LVSP_0260_YAF PL2_4228_110_LVSP_0260_YAF.i_Raw</v>
      </c>
    </row>
    <row r="302" spans="2:13" x14ac:dyDescent="0.25">
      <c r="B302" t="s">
        <v>1036</v>
      </c>
      <c r="E302" t="s">
        <v>5</v>
      </c>
      <c r="F302" t="s">
        <v>1125</v>
      </c>
      <c r="G302" t="s">
        <v>781</v>
      </c>
      <c r="H302" t="s">
        <v>103</v>
      </c>
      <c r="J302" t="s">
        <v>632</v>
      </c>
      <c r="L302"/>
      <c r="M302" s="18" t="str">
        <f t="shared" si="17"/>
        <v>fbDigital PL2_4228_110_VFD_0260_YAF PL2_4228_110_VFD_0260_YAF.i_Raw</v>
      </c>
    </row>
    <row r="303" spans="2:13" x14ac:dyDescent="0.25">
      <c r="B303" t="s">
        <v>1036</v>
      </c>
      <c r="E303" t="s">
        <v>5</v>
      </c>
      <c r="F303" t="s">
        <v>1129</v>
      </c>
      <c r="G303" t="s">
        <v>781</v>
      </c>
      <c r="H303" t="s">
        <v>104</v>
      </c>
      <c r="J303" t="s">
        <v>632</v>
      </c>
      <c r="L303"/>
      <c r="M303" s="18" t="str">
        <f t="shared" si="17"/>
        <v>fbDigital PL2_4228_321_BLR_0263_YAE PL2_4228_321_BLR_0263_YAE.i_Raw</v>
      </c>
    </row>
    <row r="304" spans="2:13" x14ac:dyDescent="0.25">
      <c r="B304" t="s">
        <v>1036</v>
      </c>
      <c r="E304" t="s">
        <v>5</v>
      </c>
      <c r="F304" t="s">
        <v>1128</v>
      </c>
      <c r="G304" t="s">
        <v>781</v>
      </c>
      <c r="H304" t="s">
        <v>101</v>
      </c>
      <c r="J304" t="s">
        <v>632</v>
      </c>
      <c r="L304"/>
      <c r="M304" s="18" t="str">
        <f t="shared" si="17"/>
        <v>fbDigital PL2_4228_321_BLR_0263_YAF PL2_4228_321_BLR_0263_YAF.i_Raw</v>
      </c>
    </row>
    <row r="305" spans="2:13" x14ac:dyDescent="0.25">
      <c r="B305" t="s">
        <v>1036</v>
      </c>
      <c r="E305" t="s">
        <v>5</v>
      </c>
      <c r="F305" t="s">
        <v>1138</v>
      </c>
      <c r="G305" t="s">
        <v>1150</v>
      </c>
      <c r="H305" t="s">
        <v>1146</v>
      </c>
      <c r="J305" t="s">
        <v>632</v>
      </c>
      <c r="L305"/>
      <c r="M305" s="18" t="str">
        <f t="shared" si="17"/>
        <v>fbDigital PL2_4228_110_SPD_0280_YAF PL2_4228_110_SPD_0280_YAF.i_Raw</v>
      </c>
    </row>
    <row r="306" spans="2:13" x14ac:dyDescent="0.25">
      <c r="B306" t="s">
        <v>1036</v>
      </c>
      <c r="E306" t="s">
        <v>5</v>
      </c>
      <c r="F306" t="s">
        <v>1135</v>
      </c>
      <c r="G306" t="s">
        <v>1150</v>
      </c>
      <c r="H306" t="s">
        <v>1145</v>
      </c>
      <c r="J306" t="s">
        <v>632</v>
      </c>
      <c r="L306"/>
      <c r="M306" s="18" t="str">
        <f t="shared" si="17"/>
        <v>fbDigital PL2_4228_110_UPS_0280_JSB PL2_4228_110_UPS_0280_JSB.i_Raw</v>
      </c>
    </row>
    <row r="307" spans="2:13" x14ac:dyDescent="0.25">
      <c r="B307" t="s">
        <v>1036</v>
      </c>
      <c r="E307" t="s">
        <v>5</v>
      </c>
      <c r="F307" t="s">
        <v>1134</v>
      </c>
      <c r="G307" t="s">
        <v>1150</v>
      </c>
      <c r="H307" t="s">
        <v>1144</v>
      </c>
      <c r="J307" t="s">
        <v>632</v>
      </c>
      <c r="L307"/>
      <c r="M307" s="18" t="str">
        <f t="shared" si="17"/>
        <v>fbDigital PL2_4228_110_UPS_0280_YAF PL2_4228_110_UPS_0280_YAF.i_Raw</v>
      </c>
    </row>
    <row r="308" spans="2:13" x14ac:dyDescent="0.25">
      <c r="B308" t="s">
        <v>1036</v>
      </c>
      <c r="E308" t="s">
        <v>5</v>
      </c>
      <c r="F308" t="s">
        <v>1131</v>
      </c>
      <c r="G308" t="s">
        <v>783</v>
      </c>
      <c r="H308" t="s">
        <v>1141</v>
      </c>
      <c r="J308" t="s">
        <v>632</v>
      </c>
      <c r="L308"/>
      <c r="M308" s="18" t="str">
        <f t="shared" si="17"/>
        <v>fbDigital PL2_4228_110_LVSP_0270_YAF PL2_4228_110_LVSP_0270_YAF.i_Raw</v>
      </c>
    </row>
    <row r="309" spans="2:13" x14ac:dyDescent="0.25">
      <c r="B309" t="s">
        <v>1036</v>
      </c>
      <c r="E309" t="s">
        <v>5</v>
      </c>
      <c r="F309" t="s">
        <v>1130</v>
      </c>
      <c r="G309" t="s">
        <v>783</v>
      </c>
      <c r="H309" t="s">
        <v>103</v>
      </c>
      <c r="J309" t="s">
        <v>632</v>
      </c>
      <c r="L309"/>
      <c r="M309" s="18" t="str">
        <f t="shared" si="17"/>
        <v>fbDigital PL2_4228_110_VFD_0270_YAF PL2_4228_110_VFD_0270_YAF.i_Raw</v>
      </c>
    </row>
    <row r="310" spans="2:13" x14ac:dyDescent="0.25">
      <c r="B310" t="s">
        <v>1036</v>
      </c>
      <c r="E310" t="s">
        <v>5</v>
      </c>
      <c r="F310" t="s">
        <v>1133</v>
      </c>
      <c r="G310" t="s">
        <v>783</v>
      </c>
      <c r="H310" t="s">
        <v>104</v>
      </c>
      <c r="J310" t="s">
        <v>632</v>
      </c>
      <c r="L310"/>
      <c r="M310" s="18" t="str">
        <f t="shared" si="17"/>
        <v>fbDigital PL2_4228_321_BLR_0273_YAE PL2_4228_321_BLR_0273_YAE.i_Raw</v>
      </c>
    </row>
    <row r="311" spans="2:13" x14ac:dyDescent="0.25">
      <c r="B311" t="s">
        <v>1036</v>
      </c>
      <c r="E311" t="s">
        <v>5</v>
      </c>
      <c r="F311" t="s">
        <v>1132</v>
      </c>
      <c r="G311" t="s">
        <v>783</v>
      </c>
      <c r="H311" t="s">
        <v>101</v>
      </c>
      <c r="J311" t="s">
        <v>632</v>
      </c>
      <c r="L311"/>
      <c r="M311" s="18" t="str">
        <f t="shared" si="17"/>
        <v>fbDigital PL2_4228_321_BLR_0273_YAF PL2_4228_321_BLR_0273_YAF.i_Raw</v>
      </c>
    </row>
    <row r="312" spans="2:13" x14ac:dyDescent="0.25">
      <c r="B312" t="s">
        <v>1036</v>
      </c>
      <c r="E312" t="s">
        <v>5</v>
      </c>
      <c r="F312" t="s">
        <v>1137</v>
      </c>
      <c r="G312" t="s">
        <v>784</v>
      </c>
      <c r="H312" t="s">
        <v>1141</v>
      </c>
      <c r="J312" t="s">
        <v>632</v>
      </c>
      <c r="L312"/>
      <c r="M312" s="18" t="str">
        <f t="shared" si="17"/>
        <v>fbDigital PL2_4228_110_LVSP_0280_YAF PL2_4228_110_LVSP_0280_YAF.i_Raw</v>
      </c>
    </row>
    <row r="313" spans="2:13" x14ac:dyDescent="0.25">
      <c r="B313" t="s">
        <v>1036</v>
      </c>
      <c r="E313" t="s">
        <v>5</v>
      </c>
      <c r="F313" t="s">
        <v>1136</v>
      </c>
      <c r="G313" t="s">
        <v>784</v>
      </c>
      <c r="H313" t="s">
        <v>103</v>
      </c>
      <c r="J313" t="s">
        <v>632</v>
      </c>
      <c r="L313"/>
      <c r="M313" s="18" t="str">
        <f t="shared" si="17"/>
        <v>fbDigital PL2_4228_110_VFD_0280_YAF PL2_4228_110_VFD_0280_YAF.i_Raw</v>
      </c>
    </row>
    <row r="314" spans="2:13" x14ac:dyDescent="0.25">
      <c r="B314" t="s">
        <v>1036</v>
      </c>
      <c r="E314" t="s">
        <v>5</v>
      </c>
      <c r="F314" t="s">
        <v>1140</v>
      </c>
      <c r="G314" t="s">
        <v>784</v>
      </c>
      <c r="H314" t="s">
        <v>104</v>
      </c>
      <c r="J314" t="s">
        <v>632</v>
      </c>
      <c r="L314"/>
      <c r="M314" s="18" t="str">
        <f t="shared" si="17"/>
        <v>fbDigital PL2_4228_321_BLR_0283_YAE PL2_4228_321_BLR_0283_YAE.i_Raw</v>
      </c>
    </row>
    <row r="315" spans="2:13" x14ac:dyDescent="0.25">
      <c r="B315" t="s">
        <v>1036</v>
      </c>
      <c r="E315" t="s">
        <v>5</v>
      </c>
      <c r="F315" t="s">
        <v>1139</v>
      </c>
      <c r="G315" t="s">
        <v>784</v>
      </c>
      <c r="H315" t="s">
        <v>101</v>
      </c>
      <c r="J315" t="s">
        <v>632</v>
      </c>
      <c r="L315"/>
      <c r="M315" s="18" t="str">
        <f t="shared" si="17"/>
        <v>fbDigital PL2_4228_321_BLR_0283_YAF PL2_4228_321_BLR_0283_YAF.i_Raw</v>
      </c>
    </row>
    <row r="316" spans="2:13" x14ac:dyDescent="0.25">
      <c r="B316" t="s">
        <v>1036</v>
      </c>
      <c r="E316" t="s">
        <v>5</v>
      </c>
      <c r="F316" t="s">
        <v>1755</v>
      </c>
      <c r="G316" t="s">
        <v>1214</v>
      </c>
      <c r="H316" t="s">
        <v>101</v>
      </c>
      <c r="J316" t="s">
        <v>632</v>
      </c>
      <c r="L316"/>
      <c r="M316" s="18" t="str">
        <f t="shared" si="17"/>
        <v>fbDigital PL2_4227_052_VLV_0131_YAF PL2_4227_052_VLV_0131_YAF.i_Raw</v>
      </c>
    </row>
    <row r="317" spans="2:13" x14ac:dyDescent="0.25">
      <c r="B317" t="s">
        <v>1036</v>
      </c>
      <c r="E317" t="s">
        <v>5</v>
      </c>
      <c r="F317" t="s">
        <v>1756</v>
      </c>
      <c r="G317" t="s">
        <v>1216</v>
      </c>
      <c r="H317" t="s">
        <v>101</v>
      </c>
      <c r="J317" t="s">
        <v>632</v>
      </c>
      <c r="L317"/>
      <c r="M317" s="18" t="str">
        <f t="shared" si="17"/>
        <v>fbDigital PL2_4227_052_VLV_0132_YAF PL2_4227_052_VLV_0132_YAF.i_Raw</v>
      </c>
    </row>
    <row r="318" spans="2:13" x14ac:dyDescent="0.25">
      <c r="B318" t="s">
        <v>1036</v>
      </c>
      <c r="E318" t="s">
        <v>5</v>
      </c>
      <c r="F318" t="s">
        <v>1757</v>
      </c>
      <c r="G318" t="s">
        <v>1206</v>
      </c>
      <c r="H318" t="s">
        <v>101</v>
      </c>
      <c r="J318" t="s">
        <v>632</v>
      </c>
      <c r="L318"/>
      <c r="M318" s="18" t="str">
        <f t="shared" si="17"/>
        <v>fbDigital PL2_4227_052_VLV_0133_YAF PL2_4227_052_VLV_0133_YAF.i_Raw</v>
      </c>
    </row>
    <row r="319" spans="2:13" x14ac:dyDescent="0.25">
      <c r="B319" t="s">
        <v>1036</v>
      </c>
      <c r="E319" t="s">
        <v>5</v>
      </c>
      <c r="F319" t="s">
        <v>1758</v>
      </c>
      <c r="G319" t="s">
        <v>1217</v>
      </c>
      <c r="H319" t="s">
        <v>101</v>
      </c>
      <c r="J319" t="s">
        <v>632</v>
      </c>
      <c r="L319"/>
      <c r="M319" s="18" t="str">
        <f t="shared" si="17"/>
        <v>fbDigital PL2_4227_052_VLV_0134_YAF PL2_4227_052_VLV_0134_YAF.i_Raw</v>
      </c>
    </row>
    <row r="320" spans="2:13" x14ac:dyDescent="0.25">
      <c r="B320" t="s">
        <v>1036</v>
      </c>
      <c r="E320" t="s">
        <v>5</v>
      </c>
      <c r="F320" t="s">
        <v>1759</v>
      </c>
      <c r="G320" t="s">
        <v>1207</v>
      </c>
      <c r="H320" t="s">
        <v>101</v>
      </c>
      <c r="J320" t="s">
        <v>632</v>
      </c>
      <c r="L320"/>
      <c r="M320" s="18" t="str">
        <f t="shared" si="17"/>
        <v>fbDigital PL2_4227_052_VLV_0135_YAF PL2_4227_052_VLV_0135_YAF.i_Raw</v>
      </c>
    </row>
    <row r="321" spans="2:13" x14ac:dyDescent="0.25">
      <c r="B321" t="s">
        <v>1036</v>
      </c>
      <c r="E321" t="s">
        <v>5</v>
      </c>
      <c r="F321" t="s">
        <v>1760</v>
      </c>
      <c r="G321" t="s">
        <v>1208</v>
      </c>
      <c r="H321" t="s">
        <v>101</v>
      </c>
      <c r="J321" t="s">
        <v>632</v>
      </c>
      <c r="L321"/>
      <c r="M321" s="18" t="str">
        <f t="shared" si="17"/>
        <v>fbDigital PL2_4227_052_VLV_0141_YAF PL2_4227_052_VLV_0141_YAF.i_Raw</v>
      </c>
    </row>
    <row r="322" spans="2:13" x14ac:dyDescent="0.25">
      <c r="B322" t="s">
        <v>1036</v>
      </c>
      <c r="E322" t="s">
        <v>5</v>
      </c>
      <c r="F322" t="s">
        <v>1761</v>
      </c>
      <c r="G322" t="s">
        <v>1218</v>
      </c>
      <c r="H322" t="s">
        <v>101</v>
      </c>
      <c r="J322" t="s">
        <v>632</v>
      </c>
      <c r="L322"/>
      <c r="M322" s="18" t="str">
        <f t="shared" si="17"/>
        <v>fbDigital PL2_4227_052_VLV_0142_YAF PL2_4227_052_VLV_0142_YAF.i_Raw</v>
      </c>
    </row>
    <row r="323" spans="2:13" x14ac:dyDescent="0.25">
      <c r="B323" t="s">
        <v>1036</v>
      </c>
      <c r="E323" t="s">
        <v>5</v>
      </c>
      <c r="F323" t="s">
        <v>1762</v>
      </c>
      <c r="G323" t="s">
        <v>1209</v>
      </c>
      <c r="H323" t="s">
        <v>101</v>
      </c>
      <c r="J323" t="s">
        <v>632</v>
      </c>
      <c r="L323"/>
      <c r="M323" s="18" t="str">
        <f t="shared" si="17"/>
        <v>fbDigital PL2_4227_052_VLV_0143_YAF PL2_4227_052_VLV_0143_YAF.i_Raw</v>
      </c>
    </row>
    <row r="324" spans="2:13" x14ac:dyDescent="0.25">
      <c r="B324" t="s">
        <v>1036</v>
      </c>
      <c r="E324" t="s">
        <v>5</v>
      </c>
      <c r="F324" t="s">
        <v>1763</v>
      </c>
      <c r="G324" t="s">
        <v>1219</v>
      </c>
      <c r="H324" t="s">
        <v>101</v>
      </c>
      <c r="J324" t="s">
        <v>632</v>
      </c>
      <c r="L324"/>
      <c r="M324" s="18" t="str">
        <f t="shared" si="17"/>
        <v>fbDigital PL2_4227_052_VLV_0144_YAF PL2_4227_052_VLV_0144_YAF.i_Raw</v>
      </c>
    </row>
    <row r="325" spans="2:13" x14ac:dyDescent="0.25">
      <c r="B325" t="s">
        <v>1036</v>
      </c>
      <c r="E325" t="s">
        <v>5</v>
      </c>
      <c r="F325" t="s">
        <v>1764</v>
      </c>
      <c r="G325" t="s">
        <v>1210</v>
      </c>
      <c r="H325" t="s">
        <v>101</v>
      </c>
      <c r="J325" t="s">
        <v>632</v>
      </c>
      <c r="L325"/>
      <c r="M325" s="18" t="str">
        <f t="shared" si="17"/>
        <v>fbDigital PL2_4227_052_VLV_0145_YAF PL2_4227_052_VLV_0145_YAF.i_Raw</v>
      </c>
    </row>
    <row r="326" spans="2:13" x14ac:dyDescent="0.25">
      <c r="B326" t="s">
        <v>1036</v>
      </c>
      <c r="E326" t="s">
        <v>5</v>
      </c>
      <c r="F326" t="s">
        <v>1765</v>
      </c>
      <c r="G326" t="s">
        <v>1211</v>
      </c>
      <c r="H326" t="s">
        <v>101</v>
      </c>
      <c r="J326" t="s">
        <v>632</v>
      </c>
      <c r="L326"/>
      <c r="M326" s="18" t="str">
        <f t="shared" si="17"/>
        <v>fbDigital PL2_4227_052_VLV_0151_YAF PL2_4227_052_VLV_0151_YAF.i_Raw</v>
      </c>
    </row>
    <row r="327" spans="2:13" x14ac:dyDescent="0.25">
      <c r="B327" t="s">
        <v>1036</v>
      </c>
      <c r="E327" t="s">
        <v>5</v>
      </c>
      <c r="F327" t="s">
        <v>1766</v>
      </c>
      <c r="G327" t="s">
        <v>1220</v>
      </c>
      <c r="H327" t="s">
        <v>101</v>
      </c>
      <c r="J327" t="s">
        <v>632</v>
      </c>
      <c r="L327"/>
      <c r="M327" s="18" t="str">
        <f t="shared" si="17"/>
        <v>fbDigital PL2_4227_052_VLV_0152_YAF PL2_4227_052_VLV_0152_YAF.i_Raw</v>
      </c>
    </row>
    <row r="328" spans="2:13" x14ac:dyDescent="0.25">
      <c r="B328" t="s">
        <v>1036</v>
      </c>
      <c r="E328" t="s">
        <v>5</v>
      </c>
      <c r="F328" t="s">
        <v>1767</v>
      </c>
      <c r="G328" t="s">
        <v>1212</v>
      </c>
      <c r="H328" t="s">
        <v>101</v>
      </c>
      <c r="J328" t="s">
        <v>632</v>
      </c>
      <c r="L328"/>
      <c r="M328" s="18" t="str">
        <f t="shared" si="17"/>
        <v>fbDigital PL2_4227_052_VLV_0153_YAF PL2_4227_052_VLV_0153_YAF.i_Raw</v>
      </c>
    </row>
    <row r="329" spans="2:13" x14ac:dyDescent="0.25">
      <c r="B329" t="s">
        <v>1036</v>
      </c>
      <c r="E329" t="s">
        <v>5</v>
      </c>
      <c r="F329" t="s">
        <v>1768</v>
      </c>
      <c r="G329" t="s">
        <v>1221</v>
      </c>
      <c r="H329" t="s">
        <v>101</v>
      </c>
      <c r="J329" t="s">
        <v>632</v>
      </c>
      <c r="L329"/>
      <c r="M329" s="18" t="str">
        <f t="shared" si="17"/>
        <v>fbDigital PL2_4227_052_VLV_0154_YAF PL2_4227_052_VLV_0154_YAF.i_Raw</v>
      </c>
    </row>
    <row r="330" spans="2:13" x14ac:dyDescent="0.25">
      <c r="B330" t="s">
        <v>1036</v>
      </c>
      <c r="E330" t="s">
        <v>5</v>
      </c>
      <c r="F330" t="s">
        <v>1769</v>
      </c>
      <c r="G330" t="s">
        <v>1213</v>
      </c>
      <c r="H330" t="s">
        <v>101</v>
      </c>
      <c r="J330" t="s">
        <v>632</v>
      </c>
      <c r="L330"/>
      <c r="M330" s="18" t="str">
        <f t="shared" si="17"/>
        <v>fbDigital PL2_4227_052_VLV_0155_YAF PL2_4227_052_VLV_0155_YAF.i_Raw</v>
      </c>
    </row>
    <row r="331" spans="2:13" x14ac:dyDescent="0.25">
      <c r="B331" t="s">
        <v>1036</v>
      </c>
      <c r="E331" t="s">
        <v>5</v>
      </c>
      <c r="F331" t="s">
        <v>1559</v>
      </c>
      <c r="G331" s="22" t="s">
        <v>1316</v>
      </c>
      <c r="H331" t="s">
        <v>1490</v>
      </c>
      <c r="J331" t="s">
        <v>632</v>
      </c>
      <c r="L331"/>
      <c r="M331" s="18" t="str">
        <f t="shared" si="17"/>
        <v>fbDigital PL2_4227_498_FIT_0131_FAH PL2_4227_498_FIT_0131_FAH.i_Raw</v>
      </c>
    </row>
    <row r="332" spans="2:13" x14ac:dyDescent="0.25">
      <c r="B332" t="s">
        <v>1036</v>
      </c>
      <c r="E332" t="s">
        <v>5</v>
      </c>
      <c r="F332" t="s">
        <v>1545</v>
      </c>
      <c r="G332" s="22" t="s">
        <v>1302</v>
      </c>
      <c r="H332" t="s">
        <v>1490</v>
      </c>
      <c r="J332" t="s">
        <v>632</v>
      </c>
      <c r="L332"/>
      <c r="M332" s="18" t="str">
        <f t="shared" si="17"/>
        <v>fbDigital PL2_4227_498_FIT_0132_FAH PL2_4227_498_FIT_0132_FAH.i_Raw</v>
      </c>
    </row>
    <row r="333" spans="2:13" x14ac:dyDescent="0.25">
      <c r="B333" t="s">
        <v>1036</v>
      </c>
      <c r="E333" t="s">
        <v>5</v>
      </c>
      <c r="F333" t="s">
        <v>1546</v>
      </c>
      <c r="G333" s="22" t="s">
        <v>1303</v>
      </c>
      <c r="H333" t="s">
        <v>1490</v>
      </c>
      <c r="J333" t="s">
        <v>632</v>
      </c>
      <c r="L333"/>
      <c r="M333" s="18" t="str">
        <f t="shared" si="17"/>
        <v>fbDigital PL2_4227_498_FIT_0133_FAH PL2_4227_498_FIT_0133_FAH.i_Raw</v>
      </c>
    </row>
    <row r="334" spans="2:13" x14ac:dyDescent="0.25">
      <c r="B334" t="s">
        <v>1036</v>
      </c>
      <c r="E334" t="s">
        <v>5</v>
      </c>
      <c r="F334" t="s">
        <v>1547</v>
      </c>
      <c r="G334" s="22" t="s">
        <v>1304</v>
      </c>
      <c r="H334" t="s">
        <v>1490</v>
      </c>
      <c r="J334" t="s">
        <v>632</v>
      </c>
      <c r="L334"/>
      <c r="M334" s="18" t="str">
        <f t="shared" si="17"/>
        <v>fbDigital PL2_4227_498_FIT_0134_FAH PL2_4227_498_FIT_0134_FAH.i_Raw</v>
      </c>
    </row>
    <row r="335" spans="2:13" x14ac:dyDescent="0.25">
      <c r="B335" t="s">
        <v>1036</v>
      </c>
      <c r="E335" t="s">
        <v>5</v>
      </c>
      <c r="F335" t="s">
        <v>1548</v>
      </c>
      <c r="G335" s="22" t="s">
        <v>1305</v>
      </c>
      <c r="H335" t="s">
        <v>1490</v>
      </c>
      <c r="J335" t="s">
        <v>632</v>
      </c>
      <c r="L335"/>
      <c r="M335" s="18" t="str">
        <f t="shared" si="17"/>
        <v>fbDigital PL2_4227_498_FIT_0135_FAH PL2_4227_498_FIT_0135_FAH.i_Raw</v>
      </c>
    </row>
    <row r="336" spans="2:13" x14ac:dyDescent="0.25">
      <c r="B336" t="s">
        <v>1036</v>
      </c>
      <c r="E336" t="s">
        <v>5</v>
      </c>
      <c r="F336" t="s">
        <v>1549</v>
      </c>
      <c r="G336" s="22" t="s">
        <v>1306</v>
      </c>
      <c r="H336" t="s">
        <v>1490</v>
      </c>
      <c r="J336" t="s">
        <v>632</v>
      </c>
      <c r="L336"/>
      <c r="M336" s="18" t="str">
        <f t="shared" si="17"/>
        <v>fbDigital PL2_4227_498_FIT_0141_FAH PL2_4227_498_FIT_0141_FAH.i_Raw</v>
      </c>
    </row>
    <row r="337" spans="2:13" x14ac:dyDescent="0.25">
      <c r="B337" t="s">
        <v>1036</v>
      </c>
      <c r="E337" t="s">
        <v>5</v>
      </c>
      <c r="F337" t="s">
        <v>1550</v>
      </c>
      <c r="G337" s="22" t="s">
        <v>1307</v>
      </c>
      <c r="H337" t="s">
        <v>1490</v>
      </c>
      <c r="J337" t="s">
        <v>632</v>
      </c>
      <c r="L337"/>
      <c r="M337" s="18" t="str">
        <f t="shared" si="17"/>
        <v>fbDigital PL2_4227_498_FIT_0142_FAH PL2_4227_498_FIT_0142_FAH.i_Raw</v>
      </c>
    </row>
    <row r="338" spans="2:13" x14ac:dyDescent="0.25">
      <c r="B338" t="s">
        <v>1036</v>
      </c>
      <c r="E338" t="s">
        <v>5</v>
      </c>
      <c r="F338" t="s">
        <v>1551</v>
      </c>
      <c r="G338" s="22" t="s">
        <v>1308</v>
      </c>
      <c r="H338" t="s">
        <v>1490</v>
      </c>
      <c r="J338" t="s">
        <v>632</v>
      </c>
      <c r="L338"/>
      <c r="M338" s="18" t="str">
        <f t="shared" si="17"/>
        <v>fbDigital PL2_4227_498_FIT_0143_FAH PL2_4227_498_FIT_0143_FAH.i_Raw</v>
      </c>
    </row>
    <row r="339" spans="2:13" x14ac:dyDescent="0.25">
      <c r="B339" t="s">
        <v>1036</v>
      </c>
      <c r="E339" t="s">
        <v>5</v>
      </c>
      <c r="F339" t="s">
        <v>1552</v>
      </c>
      <c r="G339" s="22" t="s">
        <v>1309</v>
      </c>
      <c r="H339" t="s">
        <v>1490</v>
      </c>
      <c r="J339" t="s">
        <v>632</v>
      </c>
      <c r="L339"/>
      <c r="M339" s="18" t="str">
        <f t="shared" si="17"/>
        <v>fbDigital PL2_4227_498_FIT_0144_FAH PL2_4227_498_FIT_0144_FAH.i_Raw</v>
      </c>
    </row>
    <row r="340" spans="2:13" x14ac:dyDescent="0.25">
      <c r="B340" t="s">
        <v>1036</v>
      </c>
      <c r="E340" t="s">
        <v>5</v>
      </c>
      <c r="F340" t="s">
        <v>1553</v>
      </c>
      <c r="G340" s="22" t="s">
        <v>1310</v>
      </c>
      <c r="H340" t="s">
        <v>1490</v>
      </c>
      <c r="J340" t="s">
        <v>632</v>
      </c>
      <c r="L340"/>
      <c r="M340" s="18" t="str">
        <f t="shared" si="17"/>
        <v>fbDigital PL2_4227_498_FIT_0145_FAH PL2_4227_498_FIT_0145_FAH.i_Raw</v>
      </c>
    </row>
    <row r="341" spans="2:13" x14ac:dyDescent="0.25">
      <c r="B341" t="s">
        <v>1036</v>
      </c>
      <c r="E341" t="s">
        <v>5</v>
      </c>
      <c r="F341" t="s">
        <v>1554</v>
      </c>
      <c r="G341" s="22" t="s">
        <v>1311</v>
      </c>
      <c r="H341" t="s">
        <v>1490</v>
      </c>
      <c r="J341" t="s">
        <v>632</v>
      </c>
      <c r="L341"/>
      <c r="M341" s="18" t="str">
        <f t="shared" si="17"/>
        <v>fbDigital PL2_4227_498_FIT_0151_FAH PL2_4227_498_FIT_0151_FAH.i_Raw</v>
      </c>
    </row>
    <row r="342" spans="2:13" x14ac:dyDescent="0.25">
      <c r="B342" t="s">
        <v>1036</v>
      </c>
      <c r="E342" t="s">
        <v>5</v>
      </c>
      <c r="F342" t="s">
        <v>1555</v>
      </c>
      <c r="G342" s="22" t="s">
        <v>1312</v>
      </c>
      <c r="H342" t="s">
        <v>1490</v>
      </c>
      <c r="J342" t="s">
        <v>632</v>
      </c>
      <c r="L342"/>
      <c r="M342" s="18" t="str">
        <f t="shared" si="17"/>
        <v>fbDigital PL2_4227_498_FIT_0152_FAH PL2_4227_498_FIT_0152_FAH.i_Raw</v>
      </c>
    </row>
    <row r="343" spans="2:13" x14ac:dyDescent="0.25">
      <c r="B343" t="s">
        <v>1036</v>
      </c>
      <c r="E343" t="s">
        <v>5</v>
      </c>
      <c r="F343" t="s">
        <v>1556</v>
      </c>
      <c r="G343" s="22" t="s">
        <v>1313</v>
      </c>
      <c r="H343" t="s">
        <v>1490</v>
      </c>
      <c r="J343" t="s">
        <v>632</v>
      </c>
      <c r="L343"/>
      <c r="M343" s="18" t="str">
        <f t="shared" si="17"/>
        <v>fbDigital PL2_4227_498_FIT_0153_FAH PL2_4227_498_FIT_0153_FAH.i_Raw</v>
      </c>
    </row>
    <row r="344" spans="2:13" x14ac:dyDescent="0.25">
      <c r="B344" t="s">
        <v>1036</v>
      </c>
      <c r="E344" t="s">
        <v>5</v>
      </c>
      <c r="F344" t="s">
        <v>1557</v>
      </c>
      <c r="G344" s="22" t="s">
        <v>1314</v>
      </c>
      <c r="H344" t="s">
        <v>1490</v>
      </c>
      <c r="J344" t="s">
        <v>632</v>
      </c>
      <c r="L344"/>
      <c r="M344" s="18" t="str">
        <f t="shared" si="17"/>
        <v>fbDigital PL2_4227_498_FIT_0154_FAH PL2_4227_498_FIT_0154_FAH.i_Raw</v>
      </c>
    </row>
    <row r="345" spans="2:13" x14ac:dyDescent="0.25">
      <c r="B345" t="s">
        <v>1036</v>
      </c>
      <c r="E345" t="s">
        <v>5</v>
      </c>
      <c r="F345" t="s">
        <v>1558</v>
      </c>
      <c r="G345" s="22" t="s">
        <v>1315</v>
      </c>
      <c r="H345" t="s">
        <v>1490</v>
      </c>
      <c r="J345" t="s">
        <v>632</v>
      </c>
      <c r="L345"/>
      <c r="M345" s="18" t="str">
        <f t="shared" si="17"/>
        <v>fbDigital PL2_4227_498_FIT_0155_FAH PL2_4227_498_FIT_0155_FAH.i_Raw</v>
      </c>
    </row>
    <row r="346" spans="2:13" x14ac:dyDescent="0.25">
      <c r="B346" t="s">
        <v>1036</v>
      </c>
      <c r="E346" t="s">
        <v>5</v>
      </c>
      <c r="F346" t="s">
        <v>1574</v>
      </c>
      <c r="G346" s="22" t="s">
        <v>1316</v>
      </c>
      <c r="H346" t="s">
        <v>1491</v>
      </c>
      <c r="J346" t="s">
        <v>632</v>
      </c>
      <c r="L346"/>
      <c r="M346" s="18" t="str">
        <f t="shared" si="17"/>
        <v>fbDigital PL2_4227_498_FIT_0131_FAL PL2_4227_498_FIT_0131_FAL.i_Raw</v>
      </c>
    </row>
    <row r="347" spans="2:13" x14ac:dyDescent="0.25">
      <c r="B347" t="s">
        <v>1036</v>
      </c>
      <c r="E347" t="s">
        <v>5</v>
      </c>
      <c r="F347" t="s">
        <v>1560</v>
      </c>
      <c r="G347" s="22" t="s">
        <v>1302</v>
      </c>
      <c r="H347" t="s">
        <v>1491</v>
      </c>
      <c r="J347" t="s">
        <v>632</v>
      </c>
      <c r="L347"/>
      <c r="M347" s="18" t="str">
        <f t="shared" si="17"/>
        <v>fbDigital PL2_4227_498_FIT_0132_FAL PL2_4227_498_FIT_0132_FAL.i_Raw</v>
      </c>
    </row>
    <row r="348" spans="2:13" x14ac:dyDescent="0.25">
      <c r="B348" t="s">
        <v>1036</v>
      </c>
      <c r="E348" t="s">
        <v>5</v>
      </c>
      <c r="F348" t="s">
        <v>1561</v>
      </c>
      <c r="G348" s="22" t="s">
        <v>1303</v>
      </c>
      <c r="H348" t="s">
        <v>1491</v>
      </c>
      <c r="J348" t="s">
        <v>632</v>
      </c>
      <c r="L348"/>
      <c r="M348" s="18" t="str">
        <f t="shared" si="17"/>
        <v>fbDigital PL2_4227_498_FIT_0133_FAL PL2_4227_498_FIT_0133_FAL.i_Raw</v>
      </c>
    </row>
    <row r="349" spans="2:13" x14ac:dyDescent="0.25">
      <c r="B349" t="s">
        <v>1036</v>
      </c>
      <c r="E349" t="s">
        <v>5</v>
      </c>
      <c r="F349" t="s">
        <v>1562</v>
      </c>
      <c r="G349" s="22" t="s">
        <v>1304</v>
      </c>
      <c r="H349" t="s">
        <v>1491</v>
      </c>
      <c r="J349" t="s">
        <v>632</v>
      </c>
      <c r="L349"/>
      <c r="M349" s="18" t="str">
        <f t="shared" si="17"/>
        <v>fbDigital PL2_4227_498_FIT_0134_FAL PL2_4227_498_FIT_0134_FAL.i_Raw</v>
      </c>
    </row>
    <row r="350" spans="2:13" x14ac:dyDescent="0.25">
      <c r="B350" t="s">
        <v>1036</v>
      </c>
      <c r="E350" t="s">
        <v>5</v>
      </c>
      <c r="F350" t="s">
        <v>1563</v>
      </c>
      <c r="G350" s="22" t="s">
        <v>1305</v>
      </c>
      <c r="H350" t="s">
        <v>1491</v>
      </c>
      <c r="J350" t="s">
        <v>632</v>
      </c>
      <c r="L350"/>
      <c r="M350" s="18" t="str">
        <f t="shared" si="17"/>
        <v>fbDigital PL2_4227_498_FIT_0135_FAL PL2_4227_498_FIT_0135_FAL.i_Raw</v>
      </c>
    </row>
    <row r="351" spans="2:13" x14ac:dyDescent="0.25">
      <c r="B351" t="s">
        <v>1036</v>
      </c>
      <c r="E351" t="s">
        <v>5</v>
      </c>
      <c r="F351" t="s">
        <v>1564</v>
      </c>
      <c r="G351" s="22" t="s">
        <v>1306</v>
      </c>
      <c r="H351" t="s">
        <v>1491</v>
      </c>
      <c r="J351" t="s">
        <v>632</v>
      </c>
      <c r="L351"/>
      <c r="M351" s="18" t="str">
        <f t="shared" si="17"/>
        <v>fbDigital PL2_4227_498_FIT_0141_FAL PL2_4227_498_FIT_0141_FAL.i_Raw</v>
      </c>
    </row>
    <row r="352" spans="2:13" x14ac:dyDescent="0.25">
      <c r="B352" t="s">
        <v>1036</v>
      </c>
      <c r="E352" t="s">
        <v>5</v>
      </c>
      <c r="F352" t="s">
        <v>1565</v>
      </c>
      <c r="G352" s="22" t="s">
        <v>1307</v>
      </c>
      <c r="H352" t="s">
        <v>1491</v>
      </c>
      <c r="J352" t="s">
        <v>632</v>
      </c>
      <c r="L352"/>
      <c r="M352" s="18" t="str">
        <f t="shared" si="17"/>
        <v>fbDigital PL2_4227_498_FIT_0142_FAL PL2_4227_498_FIT_0142_FAL.i_Raw</v>
      </c>
    </row>
    <row r="353" spans="2:13" x14ac:dyDescent="0.25">
      <c r="B353" t="s">
        <v>1036</v>
      </c>
      <c r="E353" t="s">
        <v>5</v>
      </c>
      <c r="F353" t="s">
        <v>1566</v>
      </c>
      <c r="G353" s="22" t="s">
        <v>1308</v>
      </c>
      <c r="H353" t="s">
        <v>1491</v>
      </c>
      <c r="J353" t="s">
        <v>632</v>
      </c>
      <c r="L353"/>
      <c r="M353" s="18" t="str">
        <f t="shared" si="17"/>
        <v>fbDigital PL2_4227_498_FIT_0143_FAL PL2_4227_498_FIT_0143_FAL.i_Raw</v>
      </c>
    </row>
    <row r="354" spans="2:13" x14ac:dyDescent="0.25">
      <c r="B354" t="s">
        <v>1036</v>
      </c>
      <c r="E354" t="s">
        <v>5</v>
      </c>
      <c r="F354" t="s">
        <v>1567</v>
      </c>
      <c r="G354" s="22" t="s">
        <v>1309</v>
      </c>
      <c r="H354" t="s">
        <v>1491</v>
      </c>
      <c r="J354" t="s">
        <v>632</v>
      </c>
      <c r="L354"/>
      <c r="M354" s="18" t="str">
        <f t="shared" si="17"/>
        <v>fbDigital PL2_4227_498_FIT_0144_FAL PL2_4227_498_FIT_0144_FAL.i_Raw</v>
      </c>
    </row>
    <row r="355" spans="2:13" x14ac:dyDescent="0.25">
      <c r="B355" t="s">
        <v>1036</v>
      </c>
      <c r="E355" t="s">
        <v>5</v>
      </c>
      <c r="F355" t="s">
        <v>1568</v>
      </c>
      <c r="G355" s="22" t="s">
        <v>1310</v>
      </c>
      <c r="H355" t="s">
        <v>1491</v>
      </c>
      <c r="J355" t="s">
        <v>632</v>
      </c>
      <c r="L355"/>
      <c r="M355" s="18" t="str">
        <f t="shared" si="17"/>
        <v>fbDigital PL2_4227_498_FIT_0145_FAL PL2_4227_498_FIT_0145_FAL.i_Raw</v>
      </c>
    </row>
    <row r="356" spans="2:13" x14ac:dyDescent="0.25">
      <c r="B356" t="s">
        <v>1036</v>
      </c>
      <c r="E356" t="s">
        <v>5</v>
      </c>
      <c r="F356" t="s">
        <v>1569</v>
      </c>
      <c r="G356" s="22" t="s">
        <v>1311</v>
      </c>
      <c r="H356" t="s">
        <v>1491</v>
      </c>
      <c r="J356" t="s">
        <v>632</v>
      </c>
      <c r="L356"/>
      <c r="M356" s="18" t="str">
        <f t="shared" si="17"/>
        <v>fbDigital PL2_4227_498_FIT_0151_FAL PL2_4227_498_FIT_0151_FAL.i_Raw</v>
      </c>
    </row>
    <row r="357" spans="2:13" x14ac:dyDescent="0.25">
      <c r="B357" t="s">
        <v>1036</v>
      </c>
      <c r="E357" t="s">
        <v>5</v>
      </c>
      <c r="F357" t="s">
        <v>1570</v>
      </c>
      <c r="G357" s="22" t="s">
        <v>1312</v>
      </c>
      <c r="H357" t="s">
        <v>1491</v>
      </c>
      <c r="J357" t="s">
        <v>632</v>
      </c>
      <c r="L357"/>
      <c r="M357" s="18" t="str">
        <f t="shared" si="17"/>
        <v>fbDigital PL2_4227_498_FIT_0152_FAL PL2_4227_498_FIT_0152_FAL.i_Raw</v>
      </c>
    </row>
    <row r="358" spans="2:13" x14ac:dyDescent="0.25">
      <c r="B358" t="s">
        <v>1036</v>
      </c>
      <c r="E358" t="s">
        <v>5</v>
      </c>
      <c r="F358" t="s">
        <v>1571</v>
      </c>
      <c r="G358" s="22" t="s">
        <v>1313</v>
      </c>
      <c r="H358" t="s">
        <v>1491</v>
      </c>
      <c r="J358" t="s">
        <v>632</v>
      </c>
      <c r="L358"/>
      <c r="M358" s="18" t="str">
        <f t="shared" si="17"/>
        <v>fbDigital PL2_4227_498_FIT_0153_FAL PL2_4227_498_FIT_0153_FAL.i_Raw</v>
      </c>
    </row>
    <row r="359" spans="2:13" x14ac:dyDescent="0.25">
      <c r="B359" t="s">
        <v>1036</v>
      </c>
      <c r="E359" t="s">
        <v>5</v>
      </c>
      <c r="F359" t="s">
        <v>1572</v>
      </c>
      <c r="G359" s="22" t="s">
        <v>1314</v>
      </c>
      <c r="H359" t="s">
        <v>1491</v>
      </c>
      <c r="J359" t="s">
        <v>632</v>
      </c>
      <c r="L359"/>
      <c r="M359" s="18" t="str">
        <f t="shared" si="17"/>
        <v>fbDigital PL2_4227_498_FIT_0154_FAL PL2_4227_498_FIT_0154_FAL.i_Raw</v>
      </c>
    </row>
    <row r="360" spans="2:13" x14ac:dyDescent="0.25">
      <c r="B360" t="s">
        <v>1036</v>
      </c>
      <c r="E360" t="s">
        <v>5</v>
      </c>
      <c r="F360" t="s">
        <v>1573</v>
      </c>
      <c r="G360" s="22" t="s">
        <v>1315</v>
      </c>
      <c r="H360" t="s">
        <v>1491</v>
      </c>
      <c r="J360" t="s">
        <v>632</v>
      </c>
      <c r="L360"/>
      <c r="M360" s="18" t="str">
        <f t="shared" si="17"/>
        <v>fbDigital PL2_4227_498_FIT_0155_FAL PL2_4227_498_FIT_0155_FAL.i_Raw</v>
      </c>
    </row>
    <row r="361" spans="2:13" x14ac:dyDescent="0.25">
      <c r="B361" t="s">
        <v>1036</v>
      </c>
      <c r="E361" t="s">
        <v>5</v>
      </c>
      <c r="F361" t="s">
        <v>1317</v>
      </c>
      <c r="G361" s="22" t="s">
        <v>1316</v>
      </c>
      <c r="H361" t="s">
        <v>1301</v>
      </c>
      <c r="J361" t="s">
        <v>632</v>
      </c>
      <c r="L361"/>
      <c r="M361" s="18" t="str">
        <f t="shared" si="17"/>
        <v>fbDigital PL2_4227_498_FIT_0131_LOS PL2_4227_498_FIT_0131_LOS.i_Raw</v>
      </c>
    </row>
    <row r="362" spans="2:13" x14ac:dyDescent="0.25">
      <c r="B362" t="s">
        <v>1036</v>
      </c>
      <c r="E362" t="s">
        <v>5</v>
      </c>
      <c r="F362" t="s">
        <v>1318</v>
      </c>
      <c r="G362" s="22" t="s">
        <v>1302</v>
      </c>
      <c r="H362" t="s">
        <v>1301</v>
      </c>
      <c r="J362" t="s">
        <v>632</v>
      </c>
      <c r="L362"/>
      <c r="M362" s="18" t="str">
        <f t="shared" si="17"/>
        <v>fbDigital PL2_4227_498_FIT_0132_LOS PL2_4227_498_FIT_0132_LOS.i_Raw</v>
      </c>
    </row>
    <row r="363" spans="2:13" x14ac:dyDescent="0.25">
      <c r="B363" t="s">
        <v>1036</v>
      </c>
      <c r="E363" t="s">
        <v>5</v>
      </c>
      <c r="F363" t="s">
        <v>1319</v>
      </c>
      <c r="G363" s="22" t="s">
        <v>1303</v>
      </c>
      <c r="H363" t="s">
        <v>1301</v>
      </c>
      <c r="J363" t="s">
        <v>632</v>
      </c>
      <c r="L363"/>
      <c r="M363" s="18" t="str">
        <f t="shared" si="17"/>
        <v>fbDigital PL2_4227_498_FIT_0133_LOS PL2_4227_498_FIT_0133_LOS.i_Raw</v>
      </c>
    </row>
    <row r="364" spans="2:13" x14ac:dyDescent="0.25">
      <c r="B364" t="s">
        <v>1036</v>
      </c>
      <c r="E364" t="s">
        <v>5</v>
      </c>
      <c r="F364" t="s">
        <v>1320</v>
      </c>
      <c r="G364" s="22" t="s">
        <v>1304</v>
      </c>
      <c r="H364" t="s">
        <v>1301</v>
      </c>
      <c r="J364" t="s">
        <v>632</v>
      </c>
      <c r="L364"/>
      <c r="M364" s="18" t="str">
        <f t="shared" si="17"/>
        <v>fbDigital PL2_4227_498_FIT_0134_LOS PL2_4227_498_FIT_0134_LOS.i_Raw</v>
      </c>
    </row>
    <row r="365" spans="2:13" x14ac:dyDescent="0.25">
      <c r="B365" t="s">
        <v>1036</v>
      </c>
      <c r="E365" t="s">
        <v>5</v>
      </c>
      <c r="F365" t="s">
        <v>1321</v>
      </c>
      <c r="G365" s="22" t="s">
        <v>1305</v>
      </c>
      <c r="H365" t="s">
        <v>1301</v>
      </c>
      <c r="J365" t="s">
        <v>632</v>
      </c>
      <c r="L365"/>
      <c r="M365" s="18" t="str">
        <f t="shared" si="17"/>
        <v>fbDigital PL2_4227_498_FIT_0135_LOS PL2_4227_498_FIT_0135_LOS.i_Raw</v>
      </c>
    </row>
    <row r="366" spans="2:13" x14ac:dyDescent="0.25">
      <c r="B366" t="s">
        <v>1036</v>
      </c>
      <c r="E366" t="s">
        <v>5</v>
      </c>
      <c r="F366" t="s">
        <v>1322</v>
      </c>
      <c r="G366" s="22" t="s">
        <v>1306</v>
      </c>
      <c r="H366" t="s">
        <v>1301</v>
      </c>
      <c r="J366" t="s">
        <v>632</v>
      </c>
      <c r="L366"/>
      <c r="M366" s="18" t="str">
        <f t="shared" si="17"/>
        <v>fbDigital PL2_4227_498_FIT_0141_LOS PL2_4227_498_FIT_0141_LOS.i_Raw</v>
      </c>
    </row>
    <row r="367" spans="2:13" x14ac:dyDescent="0.25">
      <c r="B367" t="s">
        <v>1036</v>
      </c>
      <c r="E367" t="s">
        <v>5</v>
      </c>
      <c r="F367" t="s">
        <v>1323</v>
      </c>
      <c r="G367" s="22" t="s">
        <v>1307</v>
      </c>
      <c r="H367" t="s">
        <v>1301</v>
      </c>
      <c r="J367" t="s">
        <v>632</v>
      </c>
      <c r="L367"/>
      <c r="M367" s="18" t="str">
        <f t="shared" si="17"/>
        <v>fbDigital PL2_4227_498_FIT_0142_LOS PL2_4227_498_FIT_0142_LOS.i_Raw</v>
      </c>
    </row>
    <row r="368" spans="2:13" x14ac:dyDescent="0.25">
      <c r="B368" t="s">
        <v>1036</v>
      </c>
      <c r="E368" t="s">
        <v>5</v>
      </c>
      <c r="F368" t="s">
        <v>1324</v>
      </c>
      <c r="G368" s="22" t="s">
        <v>1308</v>
      </c>
      <c r="H368" t="s">
        <v>1301</v>
      </c>
      <c r="J368" t="s">
        <v>632</v>
      </c>
      <c r="L368"/>
      <c r="M368" s="18" t="str">
        <f t="shared" si="17"/>
        <v>fbDigital PL2_4227_498_FIT_0143_LOS PL2_4227_498_FIT_0143_LOS.i_Raw</v>
      </c>
    </row>
    <row r="369" spans="2:13" x14ac:dyDescent="0.25">
      <c r="B369" t="s">
        <v>1036</v>
      </c>
      <c r="E369" t="s">
        <v>5</v>
      </c>
      <c r="F369" t="s">
        <v>1325</v>
      </c>
      <c r="G369" s="22" t="s">
        <v>1309</v>
      </c>
      <c r="H369" t="s">
        <v>1301</v>
      </c>
      <c r="J369" t="s">
        <v>632</v>
      </c>
      <c r="L369"/>
      <c r="M369" s="18" t="str">
        <f t="shared" si="17"/>
        <v>fbDigital PL2_4227_498_FIT_0144_LOS PL2_4227_498_FIT_0144_LOS.i_Raw</v>
      </c>
    </row>
    <row r="370" spans="2:13" x14ac:dyDescent="0.25">
      <c r="B370" t="s">
        <v>1036</v>
      </c>
      <c r="E370" t="s">
        <v>5</v>
      </c>
      <c r="F370" t="s">
        <v>1326</v>
      </c>
      <c r="G370" s="22" t="s">
        <v>1310</v>
      </c>
      <c r="H370" t="s">
        <v>1301</v>
      </c>
      <c r="J370" t="s">
        <v>632</v>
      </c>
      <c r="L370"/>
      <c r="M370" s="18" t="str">
        <f t="shared" si="17"/>
        <v>fbDigital PL2_4227_498_FIT_0145_LOS PL2_4227_498_FIT_0145_LOS.i_Raw</v>
      </c>
    </row>
    <row r="371" spans="2:13" x14ac:dyDescent="0.25">
      <c r="B371" t="s">
        <v>1036</v>
      </c>
      <c r="E371" t="s">
        <v>5</v>
      </c>
      <c r="F371" t="s">
        <v>1327</v>
      </c>
      <c r="G371" s="22" t="s">
        <v>1311</v>
      </c>
      <c r="H371" t="s">
        <v>1301</v>
      </c>
      <c r="J371" t="s">
        <v>632</v>
      </c>
      <c r="L371"/>
      <c r="M371" s="18" t="str">
        <f t="shared" si="17"/>
        <v>fbDigital PL2_4227_498_FIT_0151_LOS PL2_4227_498_FIT_0151_LOS.i_Raw</v>
      </c>
    </row>
    <row r="372" spans="2:13" x14ac:dyDescent="0.25">
      <c r="B372" t="s">
        <v>1036</v>
      </c>
      <c r="E372" t="s">
        <v>5</v>
      </c>
      <c r="F372" t="s">
        <v>1328</v>
      </c>
      <c r="G372" s="22" t="s">
        <v>1312</v>
      </c>
      <c r="H372" t="s">
        <v>1301</v>
      </c>
      <c r="J372" t="s">
        <v>632</v>
      </c>
      <c r="L372"/>
      <c r="M372" s="18" t="str">
        <f t="shared" si="17"/>
        <v>fbDigital PL2_4227_498_FIT_0152_LOS PL2_4227_498_FIT_0152_LOS.i_Raw</v>
      </c>
    </row>
    <row r="373" spans="2:13" x14ac:dyDescent="0.25">
      <c r="B373" t="s">
        <v>1036</v>
      </c>
      <c r="E373" t="s">
        <v>5</v>
      </c>
      <c r="F373" t="s">
        <v>1329</v>
      </c>
      <c r="G373" s="22" t="s">
        <v>1313</v>
      </c>
      <c r="H373" t="s">
        <v>1301</v>
      </c>
      <c r="J373" t="s">
        <v>632</v>
      </c>
      <c r="L373"/>
      <c r="M373" s="18" t="str">
        <f t="shared" si="17"/>
        <v>fbDigital PL2_4227_498_FIT_0153_LOS PL2_4227_498_FIT_0153_LOS.i_Raw</v>
      </c>
    </row>
    <row r="374" spans="2:13" x14ac:dyDescent="0.25">
      <c r="B374" t="s">
        <v>1036</v>
      </c>
      <c r="E374" t="s">
        <v>5</v>
      </c>
      <c r="F374" t="s">
        <v>1330</v>
      </c>
      <c r="G374" s="22" t="s">
        <v>1314</v>
      </c>
      <c r="H374" t="s">
        <v>1301</v>
      </c>
      <c r="J374" t="s">
        <v>632</v>
      </c>
      <c r="L374"/>
      <c r="M374" s="18" t="str">
        <f t="shared" si="17"/>
        <v>fbDigital PL2_4227_498_FIT_0154_LOS PL2_4227_498_FIT_0154_LOS.i_Raw</v>
      </c>
    </row>
    <row r="375" spans="2:13" x14ac:dyDescent="0.25">
      <c r="B375" t="s">
        <v>1036</v>
      </c>
      <c r="E375" t="s">
        <v>5</v>
      </c>
      <c r="F375" t="s">
        <v>1331</v>
      </c>
      <c r="G375" s="22" t="s">
        <v>1315</v>
      </c>
      <c r="H375" t="s">
        <v>1301</v>
      </c>
      <c r="J375" t="s">
        <v>632</v>
      </c>
      <c r="L375"/>
      <c r="M375" s="18" t="str">
        <f t="shared" si="17"/>
        <v>fbDigital PL2_4227_498_FIT_0155_LOS PL2_4227_498_FIT_0155_LOS.i_Raw</v>
      </c>
    </row>
    <row r="376" spans="2:13" x14ac:dyDescent="0.25">
      <c r="B376" t="s">
        <v>1036</v>
      </c>
      <c r="E376" t="s">
        <v>5</v>
      </c>
      <c r="F376" t="s">
        <v>1432</v>
      </c>
      <c r="G376" t="s">
        <v>1381</v>
      </c>
      <c r="H376" t="s">
        <v>1486</v>
      </c>
      <c r="J376" t="s">
        <v>632</v>
      </c>
      <c r="L376"/>
      <c r="M376" s="18" t="str">
        <f t="shared" si="17"/>
        <v>fbDigital PL2_4228_452_PIT_0002_PAH PL2_4228_452_PIT_0002_PAH.i_Raw</v>
      </c>
    </row>
    <row r="377" spans="2:13" x14ac:dyDescent="0.25">
      <c r="B377" t="s">
        <v>1036</v>
      </c>
      <c r="E377" t="s">
        <v>5</v>
      </c>
      <c r="F377" t="s">
        <v>1468</v>
      </c>
      <c r="G377" t="s">
        <v>777</v>
      </c>
      <c r="H377" t="s">
        <v>1484</v>
      </c>
      <c r="J377" t="s">
        <v>632</v>
      </c>
      <c r="L377"/>
      <c r="M377" s="18" t="str">
        <f t="shared" si="17"/>
        <v>fbDigital PL2_4228_452_PIT_0215_PAH PL2_4228_452_PIT_0215_PAH.i_Raw</v>
      </c>
    </row>
    <row r="378" spans="2:13" x14ac:dyDescent="0.25">
      <c r="B378" t="s">
        <v>1036</v>
      </c>
      <c r="E378" t="s">
        <v>5</v>
      </c>
      <c r="F378" t="s">
        <v>1469</v>
      </c>
      <c r="G378" t="s">
        <v>778</v>
      </c>
      <c r="H378" t="s">
        <v>1484</v>
      </c>
      <c r="J378" t="s">
        <v>632</v>
      </c>
      <c r="L378"/>
      <c r="M378" s="18" t="str">
        <f t="shared" si="17"/>
        <v>fbDigital PL2_4228_452_PIT_0225_PAH PL2_4228_452_PIT_0225_PAH.i_Raw</v>
      </c>
    </row>
    <row r="379" spans="2:13" x14ac:dyDescent="0.25">
      <c r="B379" t="s">
        <v>1036</v>
      </c>
      <c r="E379" t="s">
        <v>5</v>
      </c>
      <c r="F379" t="s">
        <v>1470</v>
      </c>
      <c r="G379" t="s">
        <v>780</v>
      </c>
      <c r="H379" t="s">
        <v>1484</v>
      </c>
      <c r="J379" t="s">
        <v>632</v>
      </c>
      <c r="L379"/>
      <c r="M379" s="18" t="str">
        <f t="shared" si="17"/>
        <v>fbDigital PL2_4228_452_PIT_0235_PAH PL2_4228_452_PIT_0235_PAH.i_Raw</v>
      </c>
    </row>
    <row r="380" spans="2:13" x14ac:dyDescent="0.25">
      <c r="B380" t="s">
        <v>1036</v>
      </c>
      <c r="E380" t="s">
        <v>5</v>
      </c>
      <c r="F380" t="s">
        <v>1471</v>
      </c>
      <c r="G380" t="s">
        <v>779</v>
      </c>
      <c r="H380" t="s">
        <v>1484</v>
      </c>
      <c r="J380" t="s">
        <v>632</v>
      </c>
      <c r="L380"/>
      <c r="M380" s="18" t="str">
        <f t="shared" si="17"/>
        <v>fbDigital PL2_4228_452_PIT_0245_PAH PL2_4228_452_PIT_0245_PAH.i_Raw</v>
      </c>
    </row>
    <row r="381" spans="2:13" x14ac:dyDescent="0.25">
      <c r="B381" t="s">
        <v>1036</v>
      </c>
      <c r="E381" t="s">
        <v>5</v>
      </c>
      <c r="F381" t="s">
        <v>1472</v>
      </c>
      <c r="G381" t="s">
        <v>782</v>
      </c>
      <c r="H381" t="s">
        <v>1484</v>
      </c>
      <c r="J381" t="s">
        <v>632</v>
      </c>
      <c r="L381"/>
      <c r="M381" s="18" t="str">
        <f t="shared" si="17"/>
        <v>fbDigital PL2_4228_452_PIT_0255_PAH PL2_4228_452_PIT_0255_PAH.i_Raw</v>
      </c>
    </row>
    <row r="382" spans="2:13" x14ac:dyDescent="0.25">
      <c r="B382" t="s">
        <v>1036</v>
      </c>
      <c r="E382" t="s">
        <v>5</v>
      </c>
      <c r="F382" t="s">
        <v>1473</v>
      </c>
      <c r="G382" t="s">
        <v>781</v>
      </c>
      <c r="H382" t="s">
        <v>1484</v>
      </c>
      <c r="J382" t="s">
        <v>632</v>
      </c>
      <c r="L382"/>
      <c r="M382" s="18" t="str">
        <f t="shared" si="17"/>
        <v>fbDigital PL2_4228_452_PIT_0265_PAH PL2_4228_452_PIT_0265_PAH.i_Raw</v>
      </c>
    </row>
    <row r="383" spans="2:13" x14ac:dyDescent="0.25">
      <c r="B383" t="s">
        <v>1036</v>
      </c>
      <c r="E383" t="s">
        <v>5</v>
      </c>
      <c r="F383" t="s">
        <v>1474</v>
      </c>
      <c r="G383" t="s">
        <v>783</v>
      </c>
      <c r="H383" t="s">
        <v>1484</v>
      </c>
      <c r="J383" t="s">
        <v>632</v>
      </c>
      <c r="L383"/>
      <c r="M383" s="18" t="str">
        <f t="shared" si="17"/>
        <v>fbDigital PL2_4228_452_PIT_0275_PAH PL2_4228_452_PIT_0275_PAH.i_Raw</v>
      </c>
    </row>
    <row r="384" spans="2:13" x14ac:dyDescent="0.25">
      <c r="B384" t="s">
        <v>1036</v>
      </c>
      <c r="E384" t="s">
        <v>5</v>
      </c>
      <c r="F384" t="s">
        <v>1475</v>
      </c>
      <c r="G384" t="s">
        <v>784</v>
      </c>
      <c r="H384" t="s">
        <v>1484</v>
      </c>
      <c r="J384" t="s">
        <v>632</v>
      </c>
      <c r="L384"/>
      <c r="M384" s="18" t="str">
        <f t="shared" si="17"/>
        <v>fbDigital PL2_4228_452_PIT_0285_PAH PL2_4228_452_PIT_0285_PAH.i_Raw</v>
      </c>
    </row>
    <row r="385" spans="2:13" x14ac:dyDescent="0.25">
      <c r="B385" t="s">
        <v>1036</v>
      </c>
      <c r="E385" t="s">
        <v>5</v>
      </c>
      <c r="F385" t="s">
        <v>1433</v>
      </c>
      <c r="G385" t="s">
        <v>1381</v>
      </c>
      <c r="H385" t="s">
        <v>1487</v>
      </c>
      <c r="J385" t="s">
        <v>632</v>
      </c>
      <c r="L385"/>
      <c r="M385" s="18" t="str">
        <f t="shared" si="17"/>
        <v>fbDigital PL2_4228_452_PIT_0002_PAL PL2_4228_452_PIT_0002_PAL.i_Raw</v>
      </c>
    </row>
    <row r="386" spans="2:13" x14ac:dyDescent="0.25">
      <c r="B386" t="s">
        <v>1036</v>
      </c>
      <c r="E386" t="s">
        <v>5</v>
      </c>
      <c r="F386" t="s">
        <v>1476</v>
      </c>
      <c r="G386" t="s">
        <v>777</v>
      </c>
      <c r="H386" t="s">
        <v>1485</v>
      </c>
      <c r="J386" t="s">
        <v>632</v>
      </c>
      <c r="L386"/>
      <c r="M386" s="18" t="str">
        <f t="shared" si="17"/>
        <v>fbDigital PL2_4228_452_PIT_0215_PAL PL2_4228_452_PIT_0215_PAL.i_Raw</v>
      </c>
    </row>
    <row r="387" spans="2:13" x14ac:dyDescent="0.25">
      <c r="B387" t="s">
        <v>1036</v>
      </c>
      <c r="E387" t="s">
        <v>5</v>
      </c>
      <c r="F387" t="s">
        <v>1477</v>
      </c>
      <c r="G387" t="s">
        <v>778</v>
      </c>
      <c r="H387" t="s">
        <v>1485</v>
      </c>
      <c r="J387" t="s">
        <v>632</v>
      </c>
      <c r="L387"/>
      <c r="M387" s="18" t="str">
        <f t="shared" si="17"/>
        <v>fbDigital PL2_4228_452_PIT_0225_PAL PL2_4228_452_PIT_0225_PAL.i_Raw</v>
      </c>
    </row>
    <row r="388" spans="2:13" x14ac:dyDescent="0.25">
      <c r="B388" t="s">
        <v>1036</v>
      </c>
      <c r="E388" t="s">
        <v>5</v>
      </c>
      <c r="F388" t="s">
        <v>1478</v>
      </c>
      <c r="G388" t="s">
        <v>780</v>
      </c>
      <c r="H388" t="s">
        <v>1485</v>
      </c>
      <c r="J388" t="s">
        <v>632</v>
      </c>
      <c r="L388"/>
      <c r="M388" s="18" t="str">
        <f t="shared" si="17"/>
        <v>fbDigital PL2_4228_452_PIT_0235_PAL PL2_4228_452_PIT_0235_PAL.i_Raw</v>
      </c>
    </row>
    <row r="389" spans="2:13" x14ac:dyDescent="0.25">
      <c r="B389" t="s">
        <v>1036</v>
      </c>
      <c r="E389" t="s">
        <v>5</v>
      </c>
      <c r="F389" t="s">
        <v>1479</v>
      </c>
      <c r="G389" t="s">
        <v>779</v>
      </c>
      <c r="H389" t="s">
        <v>1485</v>
      </c>
      <c r="J389" t="s">
        <v>632</v>
      </c>
      <c r="L389"/>
      <c r="M389" s="18" t="str">
        <f t="shared" si="17"/>
        <v>fbDigital PL2_4228_452_PIT_0245_PAL PL2_4228_452_PIT_0245_PAL.i_Raw</v>
      </c>
    </row>
    <row r="390" spans="2:13" x14ac:dyDescent="0.25">
      <c r="B390" t="s">
        <v>1036</v>
      </c>
      <c r="E390" t="s">
        <v>5</v>
      </c>
      <c r="F390" t="s">
        <v>1480</v>
      </c>
      <c r="G390" t="s">
        <v>782</v>
      </c>
      <c r="H390" t="s">
        <v>1485</v>
      </c>
      <c r="J390" t="s">
        <v>632</v>
      </c>
      <c r="L390"/>
      <c r="M390" s="18" t="str">
        <f t="shared" si="17"/>
        <v>fbDigital PL2_4228_452_PIT_0255_PAL PL2_4228_452_PIT_0255_PAL.i_Raw</v>
      </c>
    </row>
    <row r="391" spans="2:13" x14ac:dyDescent="0.25">
      <c r="B391" t="s">
        <v>1036</v>
      </c>
      <c r="E391" t="s">
        <v>5</v>
      </c>
      <c r="F391" t="s">
        <v>1481</v>
      </c>
      <c r="G391" t="s">
        <v>781</v>
      </c>
      <c r="H391" t="s">
        <v>1485</v>
      </c>
      <c r="J391" t="s">
        <v>632</v>
      </c>
      <c r="L391"/>
      <c r="M391" s="18" t="str">
        <f t="shared" si="17"/>
        <v>fbDigital PL2_4228_452_PIT_0265_PAL PL2_4228_452_PIT_0265_PAL.i_Raw</v>
      </c>
    </row>
    <row r="392" spans="2:13" x14ac:dyDescent="0.25">
      <c r="B392" t="s">
        <v>1036</v>
      </c>
      <c r="E392" t="s">
        <v>5</v>
      </c>
      <c r="F392" t="s">
        <v>1482</v>
      </c>
      <c r="G392" t="s">
        <v>783</v>
      </c>
      <c r="H392" t="s">
        <v>1485</v>
      </c>
      <c r="J392" t="s">
        <v>632</v>
      </c>
      <c r="L392"/>
      <c r="M392" s="18" t="str">
        <f t="shared" si="17"/>
        <v>fbDigital PL2_4228_452_PIT_0275_PAL PL2_4228_452_PIT_0275_PAL.i_Raw</v>
      </c>
    </row>
    <row r="393" spans="2:13" x14ac:dyDescent="0.25">
      <c r="B393" t="s">
        <v>1036</v>
      </c>
      <c r="E393" t="s">
        <v>5</v>
      </c>
      <c r="F393" t="s">
        <v>1483</v>
      </c>
      <c r="G393" t="s">
        <v>784</v>
      </c>
      <c r="H393" t="s">
        <v>1485</v>
      </c>
      <c r="J393" t="s">
        <v>632</v>
      </c>
      <c r="L393"/>
      <c r="M393" s="18" t="str">
        <f t="shared" si="17"/>
        <v>fbDigital PL2_4228_452_PIT_0285_PAL PL2_4228_452_PIT_0285_PAL.i_Raw</v>
      </c>
    </row>
    <row r="394" spans="2:13" x14ac:dyDescent="0.25">
      <c r="B394" t="s">
        <v>1036</v>
      </c>
      <c r="E394" t="s">
        <v>5</v>
      </c>
      <c r="F394" t="s">
        <v>1488</v>
      </c>
      <c r="G394" t="s">
        <v>1381</v>
      </c>
      <c r="H394" t="s">
        <v>1490</v>
      </c>
      <c r="J394" t="s">
        <v>632</v>
      </c>
      <c r="L394"/>
      <c r="M394" s="18" t="str">
        <f t="shared" si="17"/>
        <v>fbDigital PL2_4228_452_FIT_0001_FAH PL2_4228_452_FIT_0001_FAH.i_Raw</v>
      </c>
    </row>
    <row r="395" spans="2:13" x14ac:dyDescent="0.25">
      <c r="B395" t="s">
        <v>1036</v>
      </c>
      <c r="E395" t="s">
        <v>5</v>
      </c>
      <c r="F395" t="s">
        <v>1489</v>
      </c>
      <c r="G395" t="s">
        <v>1381</v>
      </c>
      <c r="H395" t="s">
        <v>1491</v>
      </c>
      <c r="J395" t="s">
        <v>632</v>
      </c>
      <c r="L395"/>
      <c r="M395" s="18" t="str">
        <f t="shared" si="17"/>
        <v>fbDigital PL2_4228_452_FIT_0001_FAL PL2_4228_452_FIT_0001_FAL.i_Raw</v>
      </c>
    </row>
    <row r="396" spans="2:13" x14ac:dyDescent="0.25">
      <c r="B396" t="s">
        <v>1036</v>
      </c>
      <c r="E396" t="s">
        <v>5</v>
      </c>
      <c r="F396" t="s">
        <v>1521</v>
      </c>
      <c r="G396" t="s">
        <v>1509</v>
      </c>
      <c r="H396" s="22" t="s">
        <v>1511</v>
      </c>
      <c r="J396" t="s">
        <v>632</v>
      </c>
      <c r="L396"/>
      <c r="M396" s="18" t="str">
        <f t="shared" si="17"/>
        <v>fbDigital PL2_4227_433_AIT_0131_AAH PL2_4227_433_AIT_0131_AAH.i_Raw</v>
      </c>
    </row>
    <row r="397" spans="2:13" x14ac:dyDescent="0.25">
      <c r="B397" t="s">
        <v>1036</v>
      </c>
      <c r="E397" t="s">
        <v>5</v>
      </c>
      <c r="F397" t="s">
        <v>1513</v>
      </c>
      <c r="G397" t="s">
        <v>1501</v>
      </c>
      <c r="H397" s="22" t="s">
        <v>1511</v>
      </c>
      <c r="J397" t="s">
        <v>632</v>
      </c>
      <c r="L397"/>
      <c r="M397" s="18" t="str">
        <f t="shared" si="17"/>
        <v>fbDigital PL2_4227_433_AIT_0133_AAH PL2_4227_433_AIT_0133_AAH.i_Raw</v>
      </c>
    </row>
    <row r="398" spans="2:13" x14ac:dyDescent="0.25">
      <c r="B398" t="s">
        <v>1036</v>
      </c>
      <c r="E398" t="s">
        <v>5</v>
      </c>
      <c r="F398" t="s">
        <v>1514</v>
      </c>
      <c r="G398" t="s">
        <v>1502</v>
      </c>
      <c r="H398" s="22" t="s">
        <v>1511</v>
      </c>
      <c r="J398" t="s">
        <v>632</v>
      </c>
      <c r="L398"/>
      <c r="M398" s="18" t="str">
        <f t="shared" si="17"/>
        <v>fbDigital PL2_4227_433_AIT_0135_AAH PL2_4227_433_AIT_0135_AAH.i_Raw</v>
      </c>
    </row>
    <row r="399" spans="2:13" x14ac:dyDescent="0.25">
      <c r="B399" t="s">
        <v>1036</v>
      </c>
      <c r="E399" t="s">
        <v>5</v>
      </c>
      <c r="F399" t="s">
        <v>1515</v>
      </c>
      <c r="G399" t="s">
        <v>1503</v>
      </c>
      <c r="H399" s="22" t="s">
        <v>1511</v>
      </c>
      <c r="J399" t="s">
        <v>632</v>
      </c>
      <c r="L399"/>
      <c r="M399" s="18" t="str">
        <f t="shared" si="17"/>
        <v>fbDigital PL2_4227_433_AIT_0141_AAH PL2_4227_433_AIT_0141_AAH.i_Raw</v>
      </c>
    </row>
    <row r="400" spans="2:13" x14ac:dyDescent="0.25">
      <c r="B400" t="s">
        <v>1036</v>
      </c>
      <c r="E400" t="s">
        <v>5</v>
      </c>
      <c r="F400" t="s">
        <v>1516</v>
      </c>
      <c r="G400" t="s">
        <v>1504</v>
      </c>
      <c r="H400" s="22" t="s">
        <v>1511</v>
      </c>
      <c r="J400" t="s">
        <v>632</v>
      </c>
      <c r="L400"/>
      <c r="M400" s="18" t="str">
        <f t="shared" si="17"/>
        <v>fbDigital PL2_4227_433_AIT_0143_AAH PL2_4227_433_AIT_0143_AAH.i_Raw</v>
      </c>
    </row>
    <row r="401" spans="2:13" x14ac:dyDescent="0.25">
      <c r="B401" t="s">
        <v>1036</v>
      </c>
      <c r="E401" t="s">
        <v>5</v>
      </c>
      <c r="F401" t="s">
        <v>1517</v>
      </c>
      <c r="G401" t="s">
        <v>1505</v>
      </c>
      <c r="H401" s="22" t="s">
        <v>1511</v>
      </c>
      <c r="J401" t="s">
        <v>632</v>
      </c>
      <c r="L401"/>
      <c r="M401" s="18" t="str">
        <f t="shared" si="17"/>
        <v>fbDigital PL2_4227_433_AIT_0145_AAH PL2_4227_433_AIT_0145_AAH.i_Raw</v>
      </c>
    </row>
    <row r="402" spans="2:13" x14ac:dyDescent="0.25">
      <c r="B402" t="s">
        <v>1036</v>
      </c>
      <c r="E402" t="s">
        <v>5</v>
      </c>
      <c r="F402" t="s">
        <v>1518</v>
      </c>
      <c r="G402" t="s">
        <v>1506</v>
      </c>
      <c r="H402" s="22" t="s">
        <v>1511</v>
      </c>
      <c r="J402" t="s">
        <v>632</v>
      </c>
      <c r="L402"/>
      <c r="M402" s="18" t="str">
        <f t="shared" si="17"/>
        <v>fbDigital PL2_4227_433_AIT_0151_AAH PL2_4227_433_AIT_0151_AAH.i_Raw</v>
      </c>
    </row>
    <row r="403" spans="2:13" x14ac:dyDescent="0.25">
      <c r="B403" t="s">
        <v>1036</v>
      </c>
      <c r="E403" t="s">
        <v>5</v>
      </c>
      <c r="F403" t="s">
        <v>1519</v>
      </c>
      <c r="G403" t="s">
        <v>1507</v>
      </c>
      <c r="H403" s="22" t="s">
        <v>1511</v>
      </c>
      <c r="J403" t="s">
        <v>632</v>
      </c>
      <c r="L403"/>
      <c r="M403" s="18" t="str">
        <f t="shared" si="17"/>
        <v>fbDigital PL2_4227_433_AIT_0153_AAH PL2_4227_433_AIT_0153_AAH.i_Raw</v>
      </c>
    </row>
    <row r="404" spans="2:13" x14ac:dyDescent="0.25">
      <c r="B404" t="s">
        <v>1036</v>
      </c>
      <c r="E404" t="s">
        <v>5</v>
      </c>
      <c r="F404" t="s">
        <v>1520</v>
      </c>
      <c r="G404" t="s">
        <v>1508</v>
      </c>
      <c r="H404" s="22" t="s">
        <v>1511</v>
      </c>
      <c r="J404" t="s">
        <v>632</v>
      </c>
      <c r="L404"/>
      <c r="M404" s="18" t="str">
        <f t="shared" si="17"/>
        <v>fbDigital PL2_4227_433_AIT_0155_AAH PL2_4227_433_AIT_0155_AAH.i_Raw</v>
      </c>
    </row>
    <row r="405" spans="2:13" x14ac:dyDescent="0.25">
      <c r="B405" t="s">
        <v>1036</v>
      </c>
      <c r="E405" t="s">
        <v>5</v>
      </c>
      <c r="F405" t="s">
        <v>1530</v>
      </c>
      <c r="G405" t="s">
        <v>1509</v>
      </c>
      <c r="H405" s="22" t="s">
        <v>1512</v>
      </c>
      <c r="J405" t="s">
        <v>632</v>
      </c>
      <c r="L405"/>
      <c r="M405" s="18" t="str">
        <f t="shared" si="17"/>
        <v>fbDigital PL2_4227_433_AIT_0131_AAL PL2_4227_433_AIT_0131_AAL.i_Raw</v>
      </c>
    </row>
    <row r="406" spans="2:13" x14ac:dyDescent="0.25">
      <c r="B406" t="s">
        <v>1036</v>
      </c>
      <c r="E406" t="s">
        <v>5</v>
      </c>
      <c r="F406" t="s">
        <v>1522</v>
      </c>
      <c r="G406" t="s">
        <v>1501</v>
      </c>
      <c r="H406" s="22" t="s">
        <v>1512</v>
      </c>
      <c r="J406" t="s">
        <v>632</v>
      </c>
      <c r="L406"/>
      <c r="M406" s="18" t="str">
        <f t="shared" si="17"/>
        <v>fbDigital PL2_4227_433_AIT_0133_AAL PL2_4227_433_AIT_0133_AAL.i_Raw</v>
      </c>
    </row>
    <row r="407" spans="2:13" x14ac:dyDescent="0.25">
      <c r="B407" t="s">
        <v>1036</v>
      </c>
      <c r="E407" t="s">
        <v>5</v>
      </c>
      <c r="F407" t="s">
        <v>1523</v>
      </c>
      <c r="G407" t="s">
        <v>1502</v>
      </c>
      <c r="H407" s="22" t="s">
        <v>1512</v>
      </c>
      <c r="J407" t="s">
        <v>632</v>
      </c>
      <c r="L407"/>
      <c r="M407" s="18" t="str">
        <f t="shared" si="17"/>
        <v>fbDigital PL2_4227_433_AIT_0135_AAL PL2_4227_433_AIT_0135_AAL.i_Raw</v>
      </c>
    </row>
    <row r="408" spans="2:13" x14ac:dyDescent="0.25">
      <c r="B408" t="s">
        <v>1036</v>
      </c>
      <c r="E408" t="s">
        <v>5</v>
      </c>
      <c r="F408" t="s">
        <v>1524</v>
      </c>
      <c r="G408" t="s">
        <v>1503</v>
      </c>
      <c r="H408" s="22" t="s">
        <v>1512</v>
      </c>
      <c r="J408" t="s">
        <v>632</v>
      </c>
      <c r="L408"/>
      <c r="M408" s="18" t="str">
        <f t="shared" si="17"/>
        <v>fbDigital PL2_4227_433_AIT_0141_AAL PL2_4227_433_AIT_0141_AAL.i_Raw</v>
      </c>
    </row>
    <row r="409" spans="2:13" x14ac:dyDescent="0.25">
      <c r="B409" t="s">
        <v>1036</v>
      </c>
      <c r="E409" t="s">
        <v>5</v>
      </c>
      <c r="F409" t="s">
        <v>1525</v>
      </c>
      <c r="G409" t="s">
        <v>1504</v>
      </c>
      <c r="H409" s="22" t="s">
        <v>1512</v>
      </c>
      <c r="J409" t="s">
        <v>632</v>
      </c>
      <c r="L409"/>
      <c r="M409" s="18" t="str">
        <f t="shared" si="17"/>
        <v>fbDigital PL2_4227_433_AIT_0143_AAL PL2_4227_433_AIT_0143_AAL.i_Raw</v>
      </c>
    </row>
    <row r="410" spans="2:13" x14ac:dyDescent="0.25">
      <c r="B410" t="s">
        <v>1036</v>
      </c>
      <c r="E410" t="s">
        <v>5</v>
      </c>
      <c r="F410" t="s">
        <v>1526</v>
      </c>
      <c r="G410" t="s">
        <v>1505</v>
      </c>
      <c r="H410" s="22" t="s">
        <v>1512</v>
      </c>
      <c r="J410" t="s">
        <v>632</v>
      </c>
      <c r="L410"/>
      <c r="M410" s="18" t="str">
        <f t="shared" si="17"/>
        <v>fbDigital PL2_4227_433_AIT_0145_AAL PL2_4227_433_AIT_0145_AAL.i_Raw</v>
      </c>
    </row>
    <row r="411" spans="2:13" x14ac:dyDescent="0.25">
      <c r="B411" t="s">
        <v>1036</v>
      </c>
      <c r="E411" t="s">
        <v>5</v>
      </c>
      <c r="F411" t="s">
        <v>1527</v>
      </c>
      <c r="G411" t="s">
        <v>1506</v>
      </c>
      <c r="H411" s="22" t="s">
        <v>1512</v>
      </c>
      <c r="J411" t="s">
        <v>632</v>
      </c>
      <c r="L411"/>
      <c r="M411" s="18" t="str">
        <f t="shared" si="17"/>
        <v>fbDigital PL2_4227_433_AIT_0151_AAL PL2_4227_433_AIT_0151_AAL.i_Raw</v>
      </c>
    </row>
    <row r="412" spans="2:13" x14ac:dyDescent="0.25">
      <c r="B412" t="s">
        <v>1036</v>
      </c>
      <c r="E412" t="s">
        <v>5</v>
      </c>
      <c r="F412" t="s">
        <v>1528</v>
      </c>
      <c r="G412" t="s">
        <v>1507</v>
      </c>
      <c r="H412" s="22" t="s">
        <v>1512</v>
      </c>
      <c r="J412" t="s">
        <v>632</v>
      </c>
      <c r="L412"/>
      <c r="M412" s="18" t="str">
        <f t="shared" si="17"/>
        <v>fbDigital PL2_4227_433_AIT_0153_AAL PL2_4227_433_AIT_0153_AAL.i_Raw</v>
      </c>
    </row>
    <row r="413" spans="2:13" x14ac:dyDescent="0.25">
      <c r="B413" t="s">
        <v>1036</v>
      </c>
      <c r="E413" t="s">
        <v>5</v>
      </c>
      <c r="F413" t="s">
        <v>1529</v>
      </c>
      <c r="G413" t="s">
        <v>1508</v>
      </c>
      <c r="H413" s="22" t="s">
        <v>1512</v>
      </c>
      <c r="J413" t="s">
        <v>632</v>
      </c>
      <c r="L413"/>
      <c r="M413" s="18" t="str">
        <f t="shared" si="17"/>
        <v>fbDigital PL2_4227_433_AIT_0155_AAL PL2_4227_433_AIT_0155_AAL.i_Raw</v>
      </c>
    </row>
    <row r="414" spans="2:13" x14ac:dyDescent="0.25">
      <c r="M414" s="18"/>
    </row>
    <row r="415" spans="2:13" x14ac:dyDescent="0.25">
      <c r="B415" t="s">
        <v>1036</v>
      </c>
      <c r="E415" t="s">
        <v>7</v>
      </c>
      <c r="F415" t="s">
        <v>1362</v>
      </c>
      <c r="G415" t="s">
        <v>1147</v>
      </c>
      <c r="H415" t="s">
        <v>1159</v>
      </c>
      <c r="J415" t="s">
        <v>66</v>
      </c>
      <c r="L415"/>
      <c r="M415" s="18" t="str">
        <f t="shared" si="17"/>
        <v>MOVE 0.0 PL2_4228_321_BLR_0220_SC</v>
      </c>
    </row>
    <row r="416" spans="2:13" x14ac:dyDescent="0.25">
      <c r="B416" t="s">
        <v>1036</v>
      </c>
      <c r="E416" t="s">
        <v>7</v>
      </c>
      <c r="F416" t="s">
        <v>1363</v>
      </c>
      <c r="G416" t="s">
        <v>1085</v>
      </c>
      <c r="H416" t="s">
        <v>1159</v>
      </c>
      <c r="J416" t="s">
        <v>66</v>
      </c>
      <c r="L416"/>
      <c r="M416" s="18" t="str">
        <f>IF(B416 = "P2P",
          "Real P2P Condition",
IF(B416 = "Dummy P2P",
          IF(E416 = "DI",
                    IF(J416 = "fbDigital",
                              _xlfn.CONCAT("fbDigital ", F416, " ", F416, ".i_Raw"),
                              _xlfn.CONCAT("XIC Always_False OTE ", F416)),
                    IF(E416 = "DO",
                              _xlfn.CONCAT("XIC ", F416, " OTE Communication_Command_"),
                              IF(E416 = "AI",
                                        IF(J416 = "fbAnalog",
                                                  _xlfn.CONCAT("fbAnalog ", F416, " SysClock.o_NewDay 0 0 0.0"),
                                                  _xlfn.CONCAT("MOVE 0.0 ", F416)),
                                        IF(E416 = "AO",
                                                  _xlfn.CONCAT("MOVE ", F416, " Communication_Setpoint"),
                                                  "Set Type")))),
IF(E416 = "DI",
          IF(ISBLANK(F416),
                    _xlfn.CONCAT("XIC ", B416, ":", C416, ":I.Data.", D416, " NOP"),
                    IF(ISNUMBER(SEARCH("fbDigital", J416)),
                              _xlfn.CONCAT("fbDigital ", F416, " ", B416, ":", C416, ":I.Data.", D416),
                              _xlfn.CONCAT("XIC ", B416, ":", C416, ":I.Data.", D416, " OTE ", F416))),
IF(E416 = "DO",
          IF(ISBLANK(F416),
                    _xlfn.CONCAT("XIC ",B416, ":", C416, ":O.Data.", D416, " OTE ", B416, ":", C416, ":O.Data.", D416),
                    _xlfn.CONCAT("XIC ", F416, " OTE ", B416, ":", C416, ":O.Data.", D416)),
IF(E416 = "AI",
          IF(ISBLANK(F416),
                    "NOP",
                    IF(ISNUMBER(SEARCH("fbAnalog", J416)),
                              _xlfn.CONCAT("fbAnalog ", F416, " SysClock.o_NewDay ", B416, ":", C416, ":I.Ch[", D416, "].Fault 0 ", B416, ":", C416, ":I.Ch[", D416, "].Data"),
                              _xlfn.CONCAT("MOVE ", B416, ":", C416, ":I.Ch[", D416, "].Data ", F416))),
IF(E416 = "AO",
          IF(ISBLANK(F416),
                    "NOP",
                    _xlfn.CONCAT("MOVE ", F416, " ", B416, ":", C416, ":O.Ch[", D416, "].Data")),
"Set Rack and Type"))))))</f>
        <v>MOVE 0.0 PL2_4228_321_BLR_0240_SC</v>
      </c>
    </row>
    <row r="417" spans="2:13" x14ac:dyDescent="0.25">
      <c r="B417" t="s">
        <v>1036</v>
      </c>
      <c r="E417" t="s">
        <v>7</v>
      </c>
      <c r="F417" t="s">
        <v>1364</v>
      </c>
      <c r="G417" t="s">
        <v>1086</v>
      </c>
      <c r="H417" t="s">
        <v>1159</v>
      </c>
      <c r="J417" t="s">
        <v>66</v>
      </c>
      <c r="L417"/>
      <c r="M417" s="18" t="str">
        <f>IF(B417 = "P2P",
          "Real P2P Condition",
IF(B417 = "Dummy P2P",
          IF(E417 = "DI",
                    IF(J417 = "fbDigital",
                              _xlfn.CONCAT("fbDigital ", F417, " ", F417, ".i_Raw"),
                              _xlfn.CONCAT("XIC Always_False OTE ", F417)),
                    IF(E417 = "DO",
                              _xlfn.CONCAT("XIC ", F417, " OTE Communication_Command_"),
                              IF(E417 = "AI",
                                        IF(J417 = "fbAnalog",
                                                  _xlfn.CONCAT("fbAnalog ", F417, " SysClock.o_NewDay 0 0 0.0"),
                                                  _xlfn.CONCAT("MOVE 0.0 ", F417)),
                                        IF(E417 = "AO",
                                                  _xlfn.CONCAT("MOVE ", F417, " Communication_Setpoint"),
                                                  "Set Type")))),
IF(E417 = "DI",
          IF(ISBLANK(F417),
                    _xlfn.CONCAT("XIC ", B417, ":", C417, ":I.Data.", D417, " NOP"),
                    IF(ISNUMBER(SEARCH("fbDigital", J417)),
                              _xlfn.CONCAT("fbDigital ", F417, " ", B417, ":", C417, ":I.Data.", D417),
                              _xlfn.CONCAT("XIC ", B417, ":", C417, ":I.Data.", D417, " OTE ", F417))),
IF(E417 = "DO",
          IF(ISBLANK(F417),
                    _xlfn.CONCAT("XIC ",B417, ":", C417, ":O.Data.", D417, " OTE ", B417, ":", C417, ":O.Data.", D417),
                    _xlfn.CONCAT("XIC ", F417, " OTE ", B417, ":", C417, ":O.Data.", D417)),
IF(E417 = "AI",
          IF(ISBLANK(F417),
                    "NOP",
                    IF(ISNUMBER(SEARCH("fbAnalog", J417)),
                              _xlfn.CONCAT("fbAnalog ", F417, " SysClock.o_NewDay ", B417, ":", C417, ":I.Ch[", D417, "].Fault 0 ", B417, ":", C417, ":I.Ch[", D417, "].Data"),
                              _xlfn.CONCAT("MOVE ", B417, ":", C417, ":I.Ch[", D417, "].Data ", F417))),
IF(E417 = "AO",
          IF(ISBLANK(F417),
                    "NOP",
                    _xlfn.CONCAT("MOVE ", F417, " ", B417, ":", C417, ":O.Ch[", D417, "].Data")),
"Set Rack and Type"))))))</f>
        <v>MOVE 0.0 PL2_4228_321_BLR_0260_SC</v>
      </c>
    </row>
    <row r="418" spans="2:13" x14ac:dyDescent="0.25">
      <c r="B418" t="s">
        <v>1036</v>
      </c>
      <c r="E418" t="s">
        <v>7</v>
      </c>
      <c r="F418" t="s">
        <v>1365</v>
      </c>
      <c r="G418" t="s">
        <v>1087</v>
      </c>
      <c r="H418" t="s">
        <v>1159</v>
      </c>
      <c r="J418" t="s">
        <v>66</v>
      </c>
      <c r="L418"/>
      <c r="M418" s="18" t="str">
        <f>IF(B418 = "P2P",
          "Real P2P Condition",
IF(B418 = "Dummy P2P",
          IF(E418 = "DI",
                    IF(J418 = "fbDigital",
                              _xlfn.CONCAT("fbDigital ", F418, " ", F418, ".i_Raw"),
                              _xlfn.CONCAT("XIC Always_False OTE ", F418)),
                    IF(E418 = "DO",
                              _xlfn.CONCAT("XIC ", F418, " OTE Communication_Command_"),
                              IF(E418 = "AI",
                                        IF(J418 = "fbAnalog",
                                                  _xlfn.CONCAT("fbAnalog ", F418, " SysClock.o_NewDay 0 0 0.0"),
                                                  _xlfn.CONCAT("MOVE 0.0 ", F418)),
                                        IF(E418 = "AO",
                                                  _xlfn.CONCAT("MOVE ", F418, " Communication_Setpoint"),
                                                  "Set Type")))),
IF(E418 = "DI",
          IF(ISBLANK(F418),
                    _xlfn.CONCAT("XIC ", B418, ":", C418, ":I.Data.", D418, " NOP"),
                    IF(ISNUMBER(SEARCH("fbDigital", J418)),
                              _xlfn.CONCAT("fbDigital ", F418, " ", B418, ":", C418, ":I.Data.", D418),
                              _xlfn.CONCAT("XIC ", B418, ":", C418, ":I.Data.", D418, " OTE ", F418))),
IF(E418 = "DO",
          IF(ISBLANK(F418),
                    _xlfn.CONCAT("XIC ",B418, ":", C418, ":O.Data.", D418, " OTE ", B418, ":", C418, ":O.Data.", D418),
                    _xlfn.CONCAT("XIC ", F418, " OTE ", B418, ":", C418, ":O.Data.", D418)),
IF(E418 = "AI",
          IF(ISBLANK(F418),
                    "NOP",
                    IF(ISNUMBER(SEARCH("fbAnalog", J418)),
                              _xlfn.CONCAT("fbAnalog ", F418, " SysClock.o_NewDay ", B418, ":", C418, ":I.Ch[", D418, "].Fault 0 ", B418, ":", C418, ":I.Ch[", D418, "].Data"),
                              _xlfn.CONCAT("MOVE ", B418, ":", C418, ":I.Ch[", D418, "].Data ", F418))),
IF(E418 = "AO",
          IF(ISBLANK(F418),
                    "NOP",
                    _xlfn.CONCAT("MOVE ", F418, " ", B418, ":", C418, ":O.Ch[", D418, "].Data")),
"Set Rack and Type"))))))</f>
        <v>MOVE 0.0 PL2_4228_321_BLR_0280_SC</v>
      </c>
    </row>
    <row r="419" spans="2:13" x14ac:dyDescent="0.25">
      <c r="B419" t="s">
        <v>1036</v>
      </c>
      <c r="E419" t="s">
        <v>7</v>
      </c>
      <c r="F419" t="s">
        <v>1151</v>
      </c>
      <c r="G419" t="s">
        <v>777</v>
      </c>
      <c r="H419" t="s">
        <v>20</v>
      </c>
      <c r="J419" t="s">
        <v>66</v>
      </c>
      <c r="M419" s="18" t="str">
        <f t="shared" si="17"/>
        <v>MOVE 0.0 PL2_4228_321_BLR_0213_SI</v>
      </c>
    </row>
    <row r="420" spans="2:13" x14ac:dyDescent="0.25">
      <c r="B420" t="s">
        <v>1036</v>
      </c>
      <c r="E420" t="s">
        <v>7</v>
      </c>
      <c r="F420" t="s">
        <v>1152</v>
      </c>
      <c r="G420" t="s">
        <v>778</v>
      </c>
      <c r="H420" t="s">
        <v>20</v>
      </c>
      <c r="J420" t="s">
        <v>66</v>
      </c>
      <c r="M420" s="18" t="str">
        <f t="shared" si="17"/>
        <v>MOVE 0.0 PL2_4228_321_BLR_0223_SI</v>
      </c>
    </row>
    <row r="421" spans="2:13" x14ac:dyDescent="0.25">
      <c r="B421" t="s">
        <v>1036</v>
      </c>
      <c r="E421" t="s">
        <v>7</v>
      </c>
      <c r="F421" t="s">
        <v>1153</v>
      </c>
      <c r="G421" t="s">
        <v>780</v>
      </c>
      <c r="H421" t="s">
        <v>20</v>
      </c>
      <c r="J421" t="s">
        <v>66</v>
      </c>
      <c r="M421" s="18" t="str">
        <f t="shared" si="17"/>
        <v>MOVE 0.0 PL2_4228_321_BLR_0233_SI</v>
      </c>
    </row>
    <row r="422" spans="2:13" x14ac:dyDescent="0.25">
      <c r="B422" t="s">
        <v>1036</v>
      </c>
      <c r="E422" t="s">
        <v>7</v>
      </c>
      <c r="F422" t="s">
        <v>1154</v>
      </c>
      <c r="G422" t="s">
        <v>779</v>
      </c>
      <c r="H422" t="s">
        <v>20</v>
      </c>
      <c r="J422" t="s">
        <v>66</v>
      </c>
      <c r="M422" s="18" t="str">
        <f t="shared" si="17"/>
        <v>MOVE 0.0 PL2_4228_321_BLR_0243_SI</v>
      </c>
    </row>
    <row r="423" spans="2:13" x14ac:dyDescent="0.25">
      <c r="B423" t="s">
        <v>1036</v>
      </c>
      <c r="E423" t="s">
        <v>7</v>
      </c>
      <c r="F423" t="s">
        <v>1155</v>
      </c>
      <c r="G423" t="s">
        <v>782</v>
      </c>
      <c r="H423" t="s">
        <v>20</v>
      </c>
      <c r="J423" t="s">
        <v>66</v>
      </c>
      <c r="M423" s="18" t="str">
        <f t="shared" si="17"/>
        <v>MOVE 0.0 PL2_4228_321_BLR_0253_SI</v>
      </c>
    </row>
    <row r="424" spans="2:13" x14ac:dyDescent="0.25">
      <c r="B424" t="s">
        <v>1036</v>
      </c>
      <c r="E424" t="s">
        <v>7</v>
      </c>
      <c r="F424" t="s">
        <v>1156</v>
      </c>
      <c r="G424" t="s">
        <v>781</v>
      </c>
      <c r="H424" t="s">
        <v>20</v>
      </c>
      <c r="J424" t="s">
        <v>66</v>
      </c>
      <c r="M424" s="18" t="str">
        <f t="shared" si="17"/>
        <v>MOVE 0.0 PL2_4228_321_BLR_0263_SI</v>
      </c>
    </row>
    <row r="425" spans="2:13" x14ac:dyDescent="0.25">
      <c r="B425" t="s">
        <v>1036</v>
      </c>
      <c r="E425" t="s">
        <v>7</v>
      </c>
      <c r="F425" t="s">
        <v>1157</v>
      </c>
      <c r="G425" t="s">
        <v>783</v>
      </c>
      <c r="H425" t="s">
        <v>20</v>
      </c>
      <c r="J425" t="s">
        <v>66</v>
      </c>
      <c r="M425" s="18" t="str">
        <f t="shared" si="17"/>
        <v>MOVE 0.0 PL2_4228_321_BLR_0273_SI</v>
      </c>
    </row>
    <row r="426" spans="2:13" x14ac:dyDescent="0.25">
      <c r="B426" t="s">
        <v>1036</v>
      </c>
      <c r="E426" t="s">
        <v>7</v>
      </c>
      <c r="F426" t="s">
        <v>1158</v>
      </c>
      <c r="G426" t="s">
        <v>784</v>
      </c>
      <c r="H426" t="s">
        <v>20</v>
      </c>
      <c r="J426" t="s">
        <v>66</v>
      </c>
      <c r="M426" s="18" t="str">
        <f t="shared" si="17"/>
        <v>MOVE 0.0 PL2_4228_321_BLR_0283_SI</v>
      </c>
    </row>
    <row r="427" spans="2:13" x14ac:dyDescent="0.25">
      <c r="B427" t="s">
        <v>1036</v>
      </c>
      <c r="E427" t="s">
        <v>7</v>
      </c>
      <c r="F427" t="s">
        <v>1240</v>
      </c>
      <c r="G427" t="s">
        <v>1214</v>
      </c>
      <c r="H427" s="22" t="s">
        <v>1222</v>
      </c>
      <c r="J427" t="s">
        <v>66</v>
      </c>
      <c r="L427"/>
      <c r="M427" s="18" t="str">
        <f t="shared" si="17"/>
        <v>MOVE 0.0 PL2_4227_052_VLV_0131_ZI</v>
      </c>
    </row>
    <row r="428" spans="2:13" x14ac:dyDescent="0.25">
      <c r="B428" t="s">
        <v>1036</v>
      </c>
      <c r="E428" t="s">
        <v>7</v>
      </c>
      <c r="F428" t="s">
        <v>1241</v>
      </c>
      <c r="G428" t="s">
        <v>1216</v>
      </c>
      <c r="H428" s="22" t="s">
        <v>1222</v>
      </c>
      <c r="J428" t="s">
        <v>66</v>
      </c>
      <c r="L428"/>
      <c r="M428" s="18" t="str">
        <f t="shared" si="17"/>
        <v>MOVE 0.0 PL2_4227_052_VLV_0132_ZI</v>
      </c>
    </row>
    <row r="429" spans="2:13" x14ac:dyDescent="0.25">
      <c r="B429" t="s">
        <v>1036</v>
      </c>
      <c r="E429" t="s">
        <v>7</v>
      </c>
      <c r="F429" t="s">
        <v>1242</v>
      </c>
      <c r="G429" t="s">
        <v>1206</v>
      </c>
      <c r="H429" s="22" t="s">
        <v>1222</v>
      </c>
      <c r="J429" t="s">
        <v>66</v>
      </c>
      <c r="L429"/>
      <c r="M429" s="18" t="str">
        <f t="shared" si="17"/>
        <v>MOVE 0.0 PL2_4227_052_VLV_0133_ZI</v>
      </c>
    </row>
    <row r="430" spans="2:13" x14ac:dyDescent="0.25">
      <c r="B430" t="s">
        <v>1036</v>
      </c>
      <c r="E430" t="s">
        <v>7</v>
      </c>
      <c r="F430" t="s">
        <v>1243</v>
      </c>
      <c r="G430" t="s">
        <v>1217</v>
      </c>
      <c r="H430" s="22" t="s">
        <v>1222</v>
      </c>
      <c r="J430" t="s">
        <v>66</v>
      </c>
      <c r="L430"/>
      <c r="M430" s="18" t="str">
        <f t="shared" si="17"/>
        <v>MOVE 0.0 PL2_4227_052_VLV_0134_ZI</v>
      </c>
    </row>
    <row r="431" spans="2:13" x14ac:dyDescent="0.25">
      <c r="B431" t="s">
        <v>1036</v>
      </c>
      <c r="E431" t="s">
        <v>7</v>
      </c>
      <c r="F431" t="s">
        <v>1244</v>
      </c>
      <c r="G431" t="s">
        <v>1207</v>
      </c>
      <c r="H431" s="22" t="s">
        <v>1222</v>
      </c>
      <c r="J431" t="s">
        <v>66</v>
      </c>
      <c r="L431"/>
      <c r="M431" s="18" t="str">
        <f t="shared" si="17"/>
        <v>MOVE 0.0 PL2_4227_052_VLV_0135_ZI</v>
      </c>
    </row>
    <row r="432" spans="2:13" x14ac:dyDescent="0.25">
      <c r="B432" t="s">
        <v>1036</v>
      </c>
      <c r="E432" t="s">
        <v>7</v>
      </c>
      <c r="F432" t="s">
        <v>1245</v>
      </c>
      <c r="G432" t="s">
        <v>1208</v>
      </c>
      <c r="H432" s="22" t="s">
        <v>1222</v>
      </c>
      <c r="J432" t="s">
        <v>66</v>
      </c>
      <c r="L432"/>
      <c r="M432" s="18" t="str">
        <f t="shared" si="17"/>
        <v>MOVE 0.0 PL2_4227_052_VLV_0141_ZI</v>
      </c>
    </row>
    <row r="433" spans="2:13" x14ac:dyDescent="0.25">
      <c r="B433" t="s">
        <v>1036</v>
      </c>
      <c r="E433" t="s">
        <v>7</v>
      </c>
      <c r="F433" t="s">
        <v>1246</v>
      </c>
      <c r="G433" t="s">
        <v>1218</v>
      </c>
      <c r="H433" s="22" t="s">
        <v>1222</v>
      </c>
      <c r="J433" t="s">
        <v>66</v>
      </c>
      <c r="L433"/>
      <c r="M433" s="18" t="str">
        <f t="shared" si="17"/>
        <v>MOVE 0.0 PL2_4227_052_VLV_0142_ZI</v>
      </c>
    </row>
    <row r="434" spans="2:13" x14ac:dyDescent="0.25">
      <c r="B434" t="s">
        <v>1036</v>
      </c>
      <c r="E434" t="s">
        <v>7</v>
      </c>
      <c r="F434" t="s">
        <v>1247</v>
      </c>
      <c r="G434" t="s">
        <v>1209</v>
      </c>
      <c r="H434" s="22" t="s">
        <v>1222</v>
      </c>
      <c r="J434" t="s">
        <v>66</v>
      </c>
      <c r="L434"/>
      <c r="M434" s="18" t="str">
        <f t="shared" si="17"/>
        <v>MOVE 0.0 PL2_4227_052_VLV_0143_ZI</v>
      </c>
    </row>
    <row r="435" spans="2:13" x14ac:dyDescent="0.25">
      <c r="B435" t="s">
        <v>1036</v>
      </c>
      <c r="E435" t="s">
        <v>7</v>
      </c>
      <c r="F435" t="s">
        <v>1248</v>
      </c>
      <c r="G435" t="s">
        <v>1219</v>
      </c>
      <c r="H435" s="22" t="s">
        <v>1222</v>
      </c>
      <c r="J435" t="s">
        <v>66</v>
      </c>
      <c r="L435"/>
      <c r="M435" s="18" t="str">
        <f t="shared" si="17"/>
        <v>MOVE 0.0 PL2_4227_052_VLV_0144_ZI</v>
      </c>
    </row>
    <row r="436" spans="2:13" x14ac:dyDescent="0.25">
      <c r="B436" t="s">
        <v>1036</v>
      </c>
      <c r="E436" t="s">
        <v>7</v>
      </c>
      <c r="F436" t="s">
        <v>1249</v>
      </c>
      <c r="G436" t="s">
        <v>1210</v>
      </c>
      <c r="H436" s="22" t="s">
        <v>1222</v>
      </c>
      <c r="J436" t="s">
        <v>66</v>
      </c>
      <c r="L436"/>
      <c r="M436" s="18" t="str">
        <f t="shared" si="17"/>
        <v>MOVE 0.0 PL2_4227_052_VLV_0145_ZI</v>
      </c>
    </row>
    <row r="437" spans="2:13" x14ac:dyDescent="0.25">
      <c r="B437" t="s">
        <v>1036</v>
      </c>
      <c r="E437" t="s">
        <v>7</v>
      </c>
      <c r="F437" t="s">
        <v>1250</v>
      </c>
      <c r="G437" t="s">
        <v>1211</v>
      </c>
      <c r="H437" s="22" t="s">
        <v>1222</v>
      </c>
      <c r="J437" t="s">
        <v>66</v>
      </c>
      <c r="L437"/>
      <c r="M437" s="18" t="str">
        <f t="shared" si="17"/>
        <v>MOVE 0.0 PL2_4227_052_VLV_0151_ZI</v>
      </c>
    </row>
    <row r="438" spans="2:13" x14ac:dyDescent="0.25">
      <c r="B438" t="s">
        <v>1036</v>
      </c>
      <c r="E438" t="s">
        <v>7</v>
      </c>
      <c r="F438" t="s">
        <v>1251</v>
      </c>
      <c r="G438" t="s">
        <v>1220</v>
      </c>
      <c r="H438" s="22" t="s">
        <v>1222</v>
      </c>
      <c r="J438" t="s">
        <v>66</v>
      </c>
      <c r="L438"/>
      <c r="M438" s="18" t="str">
        <f t="shared" si="17"/>
        <v>MOVE 0.0 PL2_4227_052_VLV_0152_ZI</v>
      </c>
    </row>
    <row r="439" spans="2:13" x14ac:dyDescent="0.25">
      <c r="B439" t="s">
        <v>1036</v>
      </c>
      <c r="E439" t="s">
        <v>7</v>
      </c>
      <c r="F439" t="s">
        <v>1252</v>
      </c>
      <c r="G439" t="s">
        <v>1212</v>
      </c>
      <c r="H439" s="22" t="s">
        <v>1222</v>
      </c>
      <c r="J439" t="s">
        <v>66</v>
      </c>
      <c r="L439"/>
      <c r="M439" s="18" t="str">
        <f t="shared" si="17"/>
        <v>MOVE 0.0 PL2_4227_052_VLV_0153_ZI</v>
      </c>
    </row>
    <row r="440" spans="2:13" x14ac:dyDescent="0.25">
      <c r="B440" t="s">
        <v>1036</v>
      </c>
      <c r="E440" t="s">
        <v>7</v>
      </c>
      <c r="F440" t="s">
        <v>1253</v>
      </c>
      <c r="G440" t="s">
        <v>1221</v>
      </c>
      <c r="H440" s="22" t="s">
        <v>1222</v>
      </c>
      <c r="J440" t="s">
        <v>66</v>
      </c>
      <c r="L440"/>
      <c r="M440" s="18" t="str">
        <f t="shared" si="17"/>
        <v>MOVE 0.0 PL2_4227_052_VLV_0154_ZI</v>
      </c>
    </row>
    <row r="441" spans="2:13" x14ac:dyDescent="0.25">
      <c r="B441" t="s">
        <v>1036</v>
      </c>
      <c r="E441" t="s">
        <v>7</v>
      </c>
      <c r="F441" t="s">
        <v>1254</v>
      </c>
      <c r="G441" t="s">
        <v>1213</v>
      </c>
      <c r="H441" s="22" t="s">
        <v>1222</v>
      </c>
      <c r="J441" t="s">
        <v>66</v>
      </c>
      <c r="L441"/>
      <c r="M441" s="18" t="str">
        <f t="shared" si="17"/>
        <v>MOVE 0.0 PL2_4227_052_VLV_0155_ZI</v>
      </c>
    </row>
    <row r="442" spans="2:13" x14ac:dyDescent="0.25">
      <c r="L442"/>
      <c r="M442" s="18" t="str">
        <f t="shared" si="17"/>
        <v>Set Rack and Type</v>
      </c>
    </row>
    <row r="443" spans="2:13" x14ac:dyDescent="0.25">
      <c r="L443"/>
      <c r="M443"/>
    </row>
    <row r="444" spans="2:13" x14ac:dyDescent="0.25">
      <c r="L444"/>
      <c r="M444"/>
    </row>
    <row r="445" spans="2:13" x14ac:dyDescent="0.25">
      <c r="L445"/>
      <c r="M445"/>
    </row>
    <row r="446" spans="2:13" x14ac:dyDescent="0.25">
      <c r="L446"/>
      <c r="M446"/>
    </row>
    <row r="447" spans="2:13" x14ac:dyDescent="0.25">
      <c r="L447"/>
      <c r="M447"/>
    </row>
    <row r="448" spans="2:13" x14ac:dyDescent="0.25">
      <c r="L448"/>
      <c r="M448"/>
    </row>
    <row r="449" spans="11:13" x14ac:dyDescent="0.25">
      <c r="L449"/>
      <c r="M449"/>
    </row>
    <row r="450" spans="11:13" x14ac:dyDescent="0.25">
      <c r="L450"/>
      <c r="M450"/>
    </row>
    <row r="451" spans="11:13" x14ac:dyDescent="0.25">
      <c r="L451"/>
      <c r="M451"/>
    </row>
    <row r="452" spans="11:13" x14ac:dyDescent="0.25">
      <c r="L452"/>
      <c r="M452"/>
    </row>
    <row r="453" spans="11:13" x14ac:dyDescent="0.25">
      <c r="K453" s="27" t="s">
        <v>1531</v>
      </c>
      <c r="L453"/>
      <c r="M453"/>
    </row>
    <row r="454" spans="11:13" x14ac:dyDescent="0.25">
      <c r="K454" s="27" t="s">
        <v>1532</v>
      </c>
      <c r="L454"/>
      <c r="M454"/>
    </row>
    <row r="455" spans="11:13" x14ac:dyDescent="0.25">
      <c r="L455"/>
      <c r="M455"/>
    </row>
    <row r="456" spans="11:13" x14ac:dyDescent="0.25">
      <c r="L456"/>
      <c r="M456"/>
    </row>
    <row r="457" spans="11:13" x14ac:dyDescent="0.25">
      <c r="K457" s="27" t="s">
        <v>1533</v>
      </c>
      <c r="L457"/>
      <c r="M457"/>
    </row>
    <row r="458" spans="11:13" x14ac:dyDescent="0.25">
      <c r="K458" s="27" t="s">
        <v>1536</v>
      </c>
      <c r="L458"/>
      <c r="M458"/>
    </row>
    <row r="459" spans="11:13" x14ac:dyDescent="0.25">
      <c r="K459" s="27" t="s">
        <v>1539</v>
      </c>
      <c r="L459"/>
      <c r="M459"/>
    </row>
    <row r="460" spans="11:13" x14ac:dyDescent="0.25">
      <c r="K460" s="27" t="s">
        <v>1542</v>
      </c>
      <c r="L460"/>
      <c r="M460"/>
    </row>
    <row r="461" spans="11:13" x14ac:dyDescent="0.25">
      <c r="K461" s="27" t="s">
        <v>1575</v>
      </c>
      <c r="L461"/>
      <c r="M461"/>
    </row>
    <row r="462" spans="11:13" x14ac:dyDescent="0.25">
      <c r="K462" s="27" t="s">
        <v>1578</v>
      </c>
      <c r="L462"/>
      <c r="M462"/>
    </row>
    <row r="463" spans="11:13" x14ac:dyDescent="0.25">
      <c r="L463"/>
      <c r="M463"/>
    </row>
    <row r="464" spans="11:13" x14ac:dyDescent="0.25">
      <c r="L464"/>
      <c r="M464"/>
    </row>
    <row r="465" spans="11:13" x14ac:dyDescent="0.25">
      <c r="K465" s="27" t="s">
        <v>1534</v>
      </c>
      <c r="L465"/>
      <c r="M465"/>
    </row>
    <row r="466" spans="11:13" x14ac:dyDescent="0.25">
      <c r="K466" s="27" t="s">
        <v>1537</v>
      </c>
      <c r="L466"/>
      <c r="M466"/>
    </row>
    <row r="467" spans="11:13" x14ac:dyDescent="0.25">
      <c r="K467" s="27" t="s">
        <v>1540</v>
      </c>
    </row>
    <row r="468" spans="11:13" x14ac:dyDescent="0.25">
      <c r="K468" s="27" t="s">
        <v>1543</v>
      </c>
    </row>
    <row r="469" spans="11:13" x14ac:dyDescent="0.25">
      <c r="K469" s="27" t="s">
        <v>1576</v>
      </c>
    </row>
    <row r="470" spans="11:13" x14ac:dyDescent="0.25">
      <c r="K470" s="27" t="s">
        <v>1579</v>
      </c>
    </row>
    <row r="473" spans="11:13" x14ac:dyDescent="0.25">
      <c r="K473" s="27" t="s">
        <v>1535</v>
      </c>
    </row>
    <row r="474" spans="11:13" x14ac:dyDescent="0.25">
      <c r="K474" s="27" t="s">
        <v>1538</v>
      </c>
    </row>
    <row r="475" spans="11:13" x14ac:dyDescent="0.25">
      <c r="K475" s="27" t="s">
        <v>1541</v>
      </c>
    </row>
    <row r="476" spans="11:13" x14ac:dyDescent="0.25">
      <c r="K476" s="27" t="s">
        <v>1544</v>
      </c>
    </row>
    <row r="477" spans="11:13" x14ac:dyDescent="0.25">
      <c r="K477" s="27" t="s">
        <v>1577</v>
      </c>
    </row>
    <row r="478" spans="11:13" x14ac:dyDescent="0.25">
      <c r="K478" s="27" t="s">
        <v>1580</v>
      </c>
    </row>
    <row r="481" spans="11:11" x14ac:dyDescent="0.25">
      <c r="K481" s="26" t="s">
        <v>1581</v>
      </c>
    </row>
    <row r="482" spans="11:11" x14ac:dyDescent="0.25">
      <c r="K482" s="27" t="s">
        <v>1589</v>
      </c>
    </row>
    <row r="483" spans="11:11" x14ac:dyDescent="0.25">
      <c r="K483" s="26" t="s">
        <v>1582</v>
      </c>
    </row>
    <row r="484" spans="11:11" x14ac:dyDescent="0.25">
      <c r="K484" s="27" t="s">
        <v>1590</v>
      </c>
    </row>
    <row r="485" spans="11:11" x14ac:dyDescent="0.25">
      <c r="K485" s="26" t="s">
        <v>1583</v>
      </c>
    </row>
    <row r="486" spans="11:11" x14ac:dyDescent="0.25">
      <c r="K486" s="27" t="s">
        <v>1591</v>
      </c>
    </row>
    <row r="487" spans="11:11" x14ac:dyDescent="0.25">
      <c r="K487" s="26" t="s">
        <v>1584</v>
      </c>
    </row>
    <row r="488" spans="11:11" x14ac:dyDescent="0.25">
      <c r="K488" s="27" t="s">
        <v>1592</v>
      </c>
    </row>
    <row r="489" spans="11:11" x14ac:dyDescent="0.25">
      <c r="K489" s="26" t="s">
        <v>1585</v>
      </c>
    </row>
    <row r="490" spans="11:11" x14ac:dyDescent="0.25">
      <c r="K490" s="27" t="s">
        <v>1593</v>
      </c>
    </row>
    <row r="491" spans="11:11" x14ac:dyDescent="0.25">
      <c r="K491" s="26" t="s">
        <v>1586</v>
      </c>
    </row>
    <row r="492" spans="11:11" x14ac:dyDescent="0.25">
      <c r="K492" s="27" t="s">
        <v>1594</v>
      </c>
    </row>
    <row r="493" spans="11:11" x14ac:dyDescent="0.25">
      <c r="K493" s="26" t="s">
        <v>1587</v>
      </c>
    </row>
    <row r="494" spans="11:11" x14ac:dyDescent="0.25">
      <c r="K494" s="27" t="s">
        <v>1595</v>
      </c>
    </row>
    <row r="495" spans="11:11" x14ac:dyDescent="0.25">
      <c r="K495" s="26" t="s">
        <v>1588</v>
      </c>
    </row>
    <row r="496" spans="11:11" x14ac:dyDescent="0.25">
      <c r="K496" s="27" t="s">
        <v>1596</v>
      </c>
    </row>
  </sheetData>
  <sortState xmlns:xlrd2="http://schemas.microsoft.com/office/spreadsheetml/2017/richdata2" ref="B143:J187">
    <sortCondition ref="F143:F187"/>
  </sortState>
  <mergeCells count="18">
    <mergeCell ref="L52:L67"/>
    <mergeCell ref="N52:N67"/>
    <mergeCell ref="N94:N101"/>
    <mergeCell ref="N111:N118"/>
    <mergeCell ref="L4:L19"/>
    <mergeCell ref="L20:L35"/>
    <mergeCell ref="L36:L51"/>
    <mergeCell ref="L69:L84"/>
    <mergeCell ref="L86:L93"/>
    <mergeCell ref="L94:L101"/>
    <mergeCell ref="L111:L118"/>
    <mergeCell ref="N4:N19"/>
    <mergeCell ref="N20:N35"/>
    <mergeCell ref="N36:N51"/>
    <mergeCell ref="N69:N84"/>
    <mergeCell ref="N86:N93"/>
    <mergeCell ref="L102:L109"/>
    <mergeCell ref="N102:N109"/>
  </mergeCells>
  <phoneticPr fontId="2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A95078-2EEC-4099-83BB-15759467A59C}">
  <sheetPr codeName="Sheet13"/>
  <dimension ref="A1:N426"/>
  <sheetViews>
    <sheetView zoomScale="85" zoomScaleNormal="85" workbookViewId="0">
      <pane ySplit="1" topLeftCell="A2" activePane="bottomLeft" state="frozen"/>
      <selection pane="bottomLeft" activeCell="I423" sqref="I423"/>
    </sheetView>
  </sheetViews>
  <sheetFormatPr defaultRowHeight="15" x14ac:dyDescent="0.25"/>
  <cols>
    <col min="1" max="1" width="7.42578125" customWidth="1"/>
    <col min="2" max="2" width="8.85546875" customWidth="1"/>
    <col min="3" max="3" width="9.42578125" customWidth="1"/>
    <col min="4" max="4" width="10.5703125" style="14" customWidth="1"/>
    <col min="5" max="5" width="8.28515625" style="14" customWidth="1"/>
    <col min="6" max="6" width="8.42578125" customWidth="1"/>
    <col min="7" max="7" width="8.28515625" style="14" customWidth="1"/>
    <col min="8" max="8" width="8.28515625" customWidth="1"/>
    <col min="9" max="9" width="34.85546875" customWidth="1"/>
    <col min="10" max="10" width="45.28515625" bestFit="1" customWidth="1"/>
    <col min="11" max="11" width="21.85546875" bestFit="1" customWidth="1"/>
    <col min="12" max="12" width="11.7109375" customWidth="1"/>
    <col min="13" max="13" width="63.42578125" bestFit="1" customWidth="1"/>
    <col min="14" max="14" width="166.140625" customWidth="1"/>
  </cols>
  <sheetData>
    <row r="1" spans="1:14" x14ac:dyDescent="0.25">
      <c r="A1" s="3" t="s">
        <v>28</v>
      </c>
      <c r="B1" s="3" t="s">
        <v>29</v>
      </c>
      <c r="C1" s="3" t="s">
        <v>634</v>
      </c>
      <c r="D1" s="4" t="s">
        <v>635</v>
      </c>
      <c r="E1" s="4" t="s">
        <v>636</v>
      </c>
      <c r="F1" s="3" t="s">
        <v>1016</v>
      </c>
      <c r="G1" s="13" t="s">
        <v>637</v>
      </c>
      <c r="H1" s="3" t="s">
        <v>638</v>
      </c>
      <c r="I1" s="3" t="s">
        <v>30</v>
      </c>
      <c r="J1" s="3" t="s">
        <v>31</v>
      </c>
      <c r="K1" s="3" t="s">
        <v>32</v>
      </c>
      <c r="L1" s="3" t="s">
        <v>33</v>
      </c>
      <c r="M1" s="3" t="s">
        <v>34</v>
      </c>
      <c r="N1" s="3" t="s">
        <v>1017</v>
      </c>
    </row>
    <row r="2" spans="1:14" x14ac:dyDescent="0.25">
      <c r="A2" t="s">
        <v>35</v>
      </c>
      <c r="C2" t="s">
        <v>639</v>
      </c>
      <c r="D2" s="14">
        <v>4227</v>
      </c>
      <c r="E2" s="14" t="s">
        <v>1205</v>
      </c>
      <c r="F2" t="s">
        <v>1204</v>
      </c>
      <c r="G2" s="14" t="s">
        <v>721</v>
      </c>
      <c r="I2" t="str">
        <f>_xlfn.CONCAT(C2,"_",D2,"_",_xlfn.CONCAT(E2, "_"),F2,"_",G2, IF(ISBLANK(H2), "", _xlfn.CONCAT("_",H2)))</f>
        <v>PL2_4227_052_VLV_0131</v>
      </c>
      <c r="J2" t="s">
        <v>1214</v>
      </c>
      <c r="K2" t="s">
        <v>1215</v>
      </c>
      <c r="M2" t="s">
        <v>72</v>
      </c>
      <c r="N2" t="str">
        <f>_xlfn.CONCAT(A2, ",", B2, ",", I2, ",""", J2, """,""", K2, """,""", L2, """,""", M2, """")</f>
        <v>TAG,,PL2_4227_052_VLV_0131,"BNR Grid 1-1 Flow Control Valve","fbValve","","(Constant := false, ExternalAccess := Read/Write)"</v>
      </c>
    </row>
    <row r="3" spans="1:14" x14ac:dyDescent="0.25">
      <c r="A3" t="s">
        <v>35</v>
      </c>
      <c r="C3" t="s">
        <v>639</v>
      </c>
      <c r="D3" s="14">
        <v>4227</v>
      </c>
      <c r="E3" s="14" t="s">
        <v>1205</v>
      </c>
      <c r="F3" t="s">
        <v>1204</v>
      </c>
      <c r="G3" s="14" t="s">
        <v>721</v>
      </c>
      <c r="H3" t="s">
        <v>790</v>
      </c>
      <c r="I3" t="str">
        <f t="shared" ref="I3:I66" si="0">_xlfn.CONCAT(C3,"_",D3,"_",_xlfn.CONCAT(E3, "_"),F3,"_",G3, IF(ISBLANK(H3), "", _xlfn.CONCAT("_",H3)))</f>
        <v>PL2_4227_052_VLV_0131_YAF</v>
      </c>
      <c r="J3" t="s">
        <v>1732</v>
      </c>
      <c r="K3" t="s">
        <v>632</v>
      </c>
      <c r="M3" t="s">
        <v>72</v>
      </c>
      <c r="N3" t="str">
        <f>_xlfn.CONCAT(A3, ",", B3, ",", I3, ",""", J3, """,""", K3, """,""", L3, """,""", M3, """")</f>
        <v>TAG,,PL2_4227_052_VLV_0131_YAF,"BNR Grid 1-1 Flow Control Valve Fault","fbDigital","","(Constant := false, ExternalAccess := Read/Write)"</v>
      </c>
    </row>
    <row r="4" spans="1:14" x14ac:dyDescent="0.25">
      <c r="A4" t="s">
        <v>35</v>
      </c>
      <c r="C4" t="s">
        <v>639</v>
      </c>
      <c r="D4" s="14">
        <v>4227</v>
      </c>
      <c r="E4" s="14" t="s">
        <v>1205</v>
      </c>
      <c r="F4" t="s">
        <v>1204</v>
      </c>
      <c r="G4" s="14" t="s">
        <v>721</v>
      </c>
      <c r="H4" t="s">
        <v>645</v>
      </c>
      <c r="I4" t="str">
        <f t="shared" si="0"/>
        <v>PL2_4227_052_VLV_0131_YCI</v>
      </c>
      <c r="J4" t="s">
        <v>1361</v>
      </c>
      <c r="K4" t="s">
        <v>44</v>
      </c>
      <c r="M4" t="s">
        <v>73</v>
      </c>
      <c r="N4" t="str">
        <f>_xlfn.CONCAT(A4, ",", B4, ",", I4, ",""", J4, """,""", K4, """,""", L4, """,""", M4, """")</f>
        <v>TAG,,PL2_4227_052_VLV_0131_YCI,"BNR Grid 1-1 Flow Control Valve In Remote","BOOL","","(RADIX := Decimal, Constant := false, ExternalAccess := Read/Write)"</v>
      </c>
    </row>
    <row r="5" spans="1:14" x14ac:dyDescent="0.25">
      <c r="A5" t="s">
        <v>35</v>
      </c>
      <c r="C5" t="s">
        <v>639</v>
      </c>
      <c r="D5" s="14">
        <v>4227</v>
      </c>
      <c r="E5" s="14" t="s">
        <v>1205</v>
      </c>
      <c r="F5" t="s">
        <v>1204</v>
      </c>
      <c r="G5" s="14" t="s">
        <v>721</v>
      </c>
      <c r="H5" t="s">
        <v>1270</v>
      </c>
      <c r="I5" t="str">
        <f t="shared" si="0"/>
        <v>PL2_4227_052_VLV_0131_ZC</v>
      </c>
      <c r="J5" t="s">
        <v>1300</v>
      </c>
      <c r="K5" t="s">
        <v>66</v>
      </c>
      <c r="M5" t="s">
        <v>74</v>
      </c>
      <c r="N5" t="str">
        <f>_xlfn.CONCAT(A5, ",", B5, ",", I5, ",""", J5, """,""", K5, """,""", L5, """,""", M5, """")</f>
        <v>TAG,,PL2_4227_052_VLV_0131_ZC,"BNR Grid 1-1 Flow Control Valve Position Command","REAL","","(RADIX := Float, Constant := false, ExternalAccess := Read/Write)"</v>
      </c>
    </row>
    <row r="6" spans="1:14" x14ac:dyDescent="0.25">
      <c r="A6" t="s">
        <v>35</v>
      </c>
      <c r="C6" t="s">
        <v>639</v>
      </c>
      <c r="D6" s="14">
        <v>4227</v>
      </c>
      <c r="E6" s="14" t="s">
        <v>1205</v>
      </c>
      <c r="F6" t="s">
        <v>1204</v>
      </c>
      <c r="G6" s="14" t="s">
        <v>721</v>
      </c>
      <c r="H6" t="s">
        <v>1223</v>
      </c>
      <c r="I6" t="str">
        <f t="shared" si="0"/>
        <v>PL2_4227_052_VLV_0131_ZI</v>
      </c>
      <c r="J6" t="s">
        <v>1271</v>
      </c>
      <c r="K6" t="s">
        <v>66</v>
      </c>
      <c r="M6" t="s">
        <v>74</v>
      </c>
      <c r="N6" t="str">
        <f>_xlfn.CONCAT(A6, ",", B6, ",", I6, ",""", J6, """,""", K6, """,""", L6, """,""", M6, """")</f>
        <v>TAG,,PL2_4227_052_VLV_0131_ZI,"BNR Grid 1-1 Flow Control Valve Position Feedback","REAL","","(RADIX := Float, Constant := false, ExternalAccess := Read/Write)"</v>
      </c>
    </row>
    <row r="7" spans="1:14" x14ac:dyDescent="0.25">
      <c r="A7" t="s">
        <v>35</v>
      </c>
      <c r="C7" t="s">
        <v>639</v>
      </c>
      <c r="D7" s="14">
        <v>4227</v>
      </c>
      <c r="E7" s="14" t="s">
        <v>1205</v>
      </c>
      <c r="F7" t="s">
        <v>1204</v>
      </c>
      <c r="G7" s="14" t="s">
        <v>721</v>
      </c>
      <c r="H7" t="s">
        <v>1701</v>
      </c>
      <c r="I7" t="str">
        <f t="shared" si="0"/>
        <v>PL2_4227_052_VLV_0131_ZSC</v>
      </c>
      <c r="J7" t="s">
        <v>1717</v>
      </c>
      <c r="K7" t="s">
        <v>44</v>
      </c>
      <c r="M7" t="s">
        <v>73</v>
      </c>
      <c r="N7" t="str">
        <f>_xlfn.CONCAT(A7, ",", B7, ",", I7, ",""", J7, """,""", K7, """,""", L7, """,""", M7, """")</f>
        <v>TAG,,PL2_4227_052_VLV_0131_ZSC,"BNR Grid 1-1 Flow Control Valve Closed","BOOL","","(RADIX := Decimal, Constant := false, ExternalAccess := Read/Write)"</v>
      </c>
    </row>
    <row r="8" spans="1:14" x14ac:dyDescent="0.25">
      <c r="A8" t="s">
        <v>35</v>
      </c>
      <c r="C8" t="s">
        <v>639</v>
      </c>
      <c r="D8" s="14">
        <v>4227</v>
      </c>
      <c r="E8" s="14" t="s">
        <v>1205</v>
      </c>
      <c r="F8" t="s">
        <v>1204</v>
      </c>
      <c r="G8" s="14" t="s">
        <v>721</v>
      </c>
      <c r="H8" t="s">
        <v>1700</v>
      </c>
      <c r="I8" t="str">
        <f t="shared" si="0"/>
        <v>PL2_4227_052_VLV_0131_ZSO</v>
      </c>
      <c r="J8" t="s">
        <v>1702</v>
      </c>
      <c r="K8" t="s">
        <v>44</v>
      </c>
      <c r="M8" t="s">
        <v>73</v>
      </c>
      <c r="N8" t="str">
        <f>_xlfn.CONCAT(A8, ",", B8, ",", I8, ",""", J8, """,""", K8, """,""", L8, """,""", M8, """")</f>
        <v>TAG,,PL2_4227_052_VLV_0131_ZSO,"BNR Grid 1-1 Flow Control Valve Opened","BOOL","","(RADIX := Decimal, Constant := false, ExternalAccess := Read/Write)"</v>
      </c>
    </row>
    <row r="9" spans="1:14" x14ac:dyDescent="0.25">
      <c r="A9" t="s">
        <v>35</v>
      </c>
      <c r="C9" t="s">
        <v>639</v>
      </c>
      <c r="D9" s="14">
        <v>4227</v>
      </c>
      <c r="E9" s="14" t="s">
        <v>1205</v>
      </c>
      <c r="F9" t="s">
        <v>1204</v>
      </c>
      <c r="G9" s="14" t="s">
        <v>1198</v>
      </c>
      <c r="I9" t="str">
        <f t="shared" si="0"/>
        <v>PL2_4227_052_VLV_0132</v>
      </c>
      <c r="J9" t="s">
        <v>1216</v>
      </c>
      <c r="K9" t="s">
        <v>1215</v>
      </c>
      <c r="M9" t="s">
        <v>72</v>
      </c>
      <c r="N9" t="str">
        <f>_xlfn.CONCAT(A9, ",", B9, ",", I9, ",""", J9, """,""", K9, """,""", L9, """,""", M9, """")</f>
        <v>TAG,,PL2_4227_052_VLV_0132,"BNR Grid 1-2 Flow Control Valve","fbValve","","(Constant := false, ExternalAccess := Read/Write)"</v>
      </c>
    </row>
    <row r="10" spans="1:14" x14ac:dyDescent="0.25">
      <c r="A10" t="s">
        <v>35</v>
      </c>
      <c r="C10" t="s">
        <v>639</v>
      </c>
      <c r="D10" s="14">
        <v>4227</v>
      </c>
      <c r="E10" s="14" t="s">
        <v>1205</v>
      </c>
      <c r="F10" t="s">
        <v>1204</v>
      </c>
      <c r="G10" s="14" t="s">
        <v>1198</v>
      </c>
      <c r="H10" t="s">
        <v>790</v>
      </c>
      <c r="I10" t="str">
        <f t="shared" si="0"/>
        <v>PL2_4227_052_VLV_0132_YAF</v>
      </c>
      <c r="J10" t="s">
        <v>1733</v>
      </c>
      <c r="K10" t="s">
        <v>632</v>
      </c>
      <c r="M10" t="s">
        <v>72</v>
      </c>
      <c r="N10" t="str">
        <f>_xlfn.CONCAT(A10, ",", B10, ",", I10, ",""", J10, """,""", K10, """,""", L10, """,""", M10, """")</f>
        <v>TAG,,PL2_4227_052_VLV_0132_YAF,"BNR Grid 1-2 Flow Control Valve Fault","fbDigital","","(Constant := false, ExternalAccess := Read/Write)"</v>
      </c>
    </row>
    <row r="11" spans="1:14" x14ac:dyDescent="0.25">
      <c r="A11" t="s">
        <v>35</v>
      </c>
      <c r="C11" t="s">
        <v>639</v>
      </c>
      <c r="D11" s="14">
        <v>4227</v>
      </c>
      <c r="E11" s="14" t="s">
        <v>1205</v>
      </c>
      <c r="F11" t="s">
        <v>1204</v>
      </c>
      <c r="G11" s="14" t="s">
        <v>1198</v>
      </c>
      <c r="H11" t="s">
        <v>645</v>
      </c>
      <c r="I11" t="str">
        <f t="shared" si="0"/>
        <v>PL2_4227_052_VLV_0132_YCI</v>
      </c>
      <c r="J11" t="s">
        <v>1347</v>
      </c>
      <c r="K11" t="s">
        <v>44</v>
      </c>
      <c r="M11" t="s">
        <v>73</v>
      </c>
      <c r="N11" t="str">
        <f>_xlfn.CONCAT(A11, ",", B11, ",", I11, ",""", J11, """,""", K11, """,""", L11, """,""", M11, """")</f>
        <v>TAG,,PL2_4227_052_VLV_0132_YCI,"BNR Grid 1-2 Flow Control Valve In Remote","BOOL","","(RADIX := Decimal, Constant := false, ExternalAccess := Read/Write)"</v>
      </c>
    </row>
    <row r="12" spans="1:14" x14ac:dyDescent="0.25">
      <c r="A12" t="s">
        <v>35</v>
      </c>
      <c r="C12" t="s">
        <v>639</v>
      </c>
      <c r="D12" s="14">
        <v>4227</v>
      </c>
      <c r="E12" s="14" t="s">
        <v>1205</v>
      </c>
      <c r="F12" t="s">
        <v>1204</v>
      </c>
      <c r="G12" s="14" t="s">
        <v>1198</v>
      </c>
      <c r="H12" t="s">
        <v>1270</v>
      </c>
      <c r="I12" t="str">
        <f t="shared" si="0"/>
        <v>PL2_4227_052_VLV_0132_ZC</v>
      </c>
      <c r="J12" t="s">
        <v>1286</v>
      </c>
      <c r="K12" t="s">
        <v>66</v>
      </c>
      <c r="M12" t="s">
        <v>74</v>
      </c>
      <c r="N12" t="str">
        <f>_xlfn.CONCAT(A12, ",", B12, ",", I12, ",""", J12, """,""", K12, """,""", L12, """,""", M12, """")</f>
        <v>TAG,,PL2_4227_052_VLV_0132_ZC,"BNR Grid 1-2 Flow Control Valve Position Command","REAL","","(RADIX := Float, Constant := false, ExternalAccess := Read/Write)"</v>
      </c>
    </row>
    <row r="13" spans="1:14" x14ac:dyDescent="0.25">
      <c r="A13" t="s">
        <v>35</v>
      </c>
      <c r="C13" t="s">
        <v>639</v>
      </c>
      <c r="D13" s="14">
        <v>4227</v>
      </c>
      <c r="E13" s="14" t="s">
        <v>1205</v>
      </c>
      <c r="F13" t="s">
        <v>1204</v>
      </c>
      <c r="G13" s="14" t="s">
        <v>1198</v>
      </c>
      <c r="H13" t="s">
        <v>1223</v>
      </c>
      <c r="I13" t="str">
        <f t="shared" si="0"/>
        <v>PL2_4227_052_VLV_0132_ZI</v>
      </c>
      <c r="J13" t="s">
        <v>1285</v>
      </c>
      <c r="K13" t="s">
        <v>66</v>
      </c>
      <c r="M13" t="s">
        <v>74</v>
      </c>
      <c r="N13" t="str">
        <f>_xlfn.CONCAT(A13, ",", B13, ",", I13, ",""", J13, """,""", K13, """,""", L13, """,""", M13, """")</f>
        <v>TAG,,PL2_4227_052_VLV_0132_ZI,"BNR Grid 1-2 Flow Control Valve Position Feedback","REAL","","(RADIX := Float, Constant := false, ExternalAccess := Read/Write)"</v>
      </c>
    </row>
    <row r="14" spans="1:14" x14ac:dyDescent="0.25">
      <c r="A14" t="s">
        <v>35</v>
      </c>
      <c r="C14" t="s">
        <v>639</v>
      </c>
      <c r="D14" s="14">
        <v>4227</v>
      </c>
      <c r="E14" s="14" t="s">
        <v>1205</v>
      </c>
      <c r="F14" t="s">
        <v>1204</v>
      </c>
      <c r="G14" s="14" t="s">
        <v>1198</v>
      </c>
      <c r="H14" t="s">
        <v>1701</v>
      </c>
      <c r="I14" t="str">
        <f t="shared" si="0"/>
        <v>PL2_4227_052_VLV_0132_ZSC</v>
      </c>
      <c r="J14" t="s">
        <v>1718</v>
      </c>
      <c r="K14" t="s">
        <v>44</v>
      </c>
      <c r="M14" t="s">
        <v>73</v>
      </c>
      <c r="N14" t="str">
        <f>_xlfn.CONCAT(A14, ",", B14, ",", I14, ",""", J14, """,""", K14, """,""", L14, """,""", M14, """")</f>
        <v>TAG,,PL2_4227_052_VLV_0132_ZSC,"BNR Grid 1-2 Flow Control Valve Closed","BOOL","","(RADIX := Decimal, Constant := false, ExternalAccess := Read/Write)"</v>
      </c>
    </row>
    <row r="15" spans="1:14" x14ac:dyDescent="0.25">
      <c r="A15" t="s">
        <v>35</v>
      </c>
      <c r="C15" t="s">
        <v>639</v>
      </c>
      <c r="D15" s="14">
        <v>4227</v>
      </c>
      <c r="E15" s="14" t="s">
        <v>1205</v>
      </c>
      <c r="F15" t="s">
        <v>1204</v>
      </c>
      <c r="G15" s="14" t="s">
        <v>1198</v>
      </c>
      <c r="H15" t="s">
        <v>1700</v>
      </c>
      <c r="I15" t="str">
        <f t="shared" si="0"/>
        <v>PL2_4227_052_VLV_0132_ZSO</v>
      </c>
      <c r="J15" t="s">
        <v>1703</v>
      </c>
      <c r="K15" t="s">
        <v>44</v>
      </c>
      <c r="M15" t="s">
        <v>73</v>
      </c>
      <c r="N15" t="str">
        <f>_xlfn.CONCAT(A15, ",", B15, ",", I15, ",""", J15, """,""", K15, """,""", L15, """,""", M15, """")</f>
        <v>TAG,,PL2_4227_052_VLV_0132_ZSO,"BNR Grid 1-2 Flow Control Valve Opened","BOOL","","(RADIX := Decimal, Constant := false, ExternalAccess := Read/Write)"</v>
      </c>
    </row>
    <row r="16" spans="1:14" x14ac:dyDescent="0.25">
      <c r="A16" t="s">
        <v>35</v>
      </c>
      <c r="C16" t="s">
        <v>639</v>
      </c>
      <c r="D16" s="14">
        <v>4227</v>
      </c>
      <c r="E16" s="14" t="s">
        <v>1205</v>
      </c>
      <c r="F16" t="s">
        <v>1204</v>
      </c>
      <c r="G16" s="14" t="s">
        <v>722</v>
      </c>
      <c r="I16" t="str">
        <f t="shared" si="0"/>
        <v>PL2_4227_052_VLV_0133</v>
      </c>
      <c r="J16" t="s">
        <v>1206</v>
      </c>
      <c r="K16" t="s">
        <v>1215</v>
      </c>
      <c r="M16" t="s">
        <v>72</v>
      </c>
      <c r="N16" t="str">
        <f>_xlfn.CONCAT(A16, ",", B16, ",", I16, ",""", J16, """,""", K16, """,""", L16, """,""", M16, """")</f>
        <v>TAG,,PL2_4227_052_VLV_0133,"BNR Grid 1-3 Flow Control Valve","fbValve","","(Constant := false, ExternalAccess := Read/Write)"</v>
      </c>
    </row>
    <row r="17" spans="1:14" x14ac:dyDescent="0.25">
      <c r="A17" t="s">
        <v>35</v>
      </c>
      <c r="C17" t="s">
        <v>639</v>
      </c>
      <c r="D17" s="14">
        <v>4227</v>
      </c>
      <c r="E17" s="14" t="s">
        <v>1205</v>
      </c>
      <c r="F17" t="s">
        <v>1204</v>
      </c>
      <c r="G17" s="14" t="s">
        <v>722</v>
      </c>
      <c r="H17" t="s">
        <v>790</v>
      </c>
      <c r="I17" t="str">
        <f t="shared" si="0"/>
        <v>PL2_4227_052_VLV_0133_YAF</v>
      </c>
      <c r="J17" t="s">
        <v>1734</v>
      </c>
      <c r="K17" t="s">
        <v>632</v>
      </c>
      <c r="M17" t="s">
        <v>72</v>
      </c>
      <c r="N17" t="str">
        <f>_xlfn.CONCAT(A17, ",", B17, ",", I17, ",""", J17, """,""", K17, """,""", L17, """,""", M17, """")</f>
        <v>TAG,,PL2_4227_052_VLV_0133_YAF,"BNR Grid 1-3 Flow Control Valve Fault","fbDigital","","(Constant := false, ExternalAccess := Read/Write)"</v>
      </c>
    </row>
    <row r="18" spans="1:14" x14ac:dyDescent="0.25">
      <c r="A18" t="s">
        <v>35</v>
      </c>
      <c r="C18" t="s">
        <v>639</v>
      </c>
      <c r="D18" s="14">
        <v>4227</v>
      </c>
      <c r="E18" s="14" t="s">
        <v>1205</v>
      </c>
      <c r="F18" t="s">
        <v>1204</v>
      </c>
      <c r="G18" s="14" t="s">
        <v>722</v>
      </c>
      <c r="H18" t="s">
        <v>645</v>
      </c>
      <c r="I18" t="str">
        <f t="shared" si="0"/>
        <v>PL2_4227_052_VLV_0133_YCI</v>
      </c>
      <c r="J18" t="s">
        <v>1348</v>
      </c>
      <c r="K18" t="s">
        <v>44</v>
      </c>
      <c r="M18" t="s">
        <v>73</v>
      </c>
      <c r="N18" t="str">
        <f>_xlfn.CONCAT(A18, ",", B18, ",", I18, ",""", J18, """,""", K18, """,""", L18, """,""", M18, """")</f>
        <v>TAG,,PL2_4227_052_VLV_0133_YCI,"BNR Grid 1-3 Flow Control Valve In Remote","BOOL","","(RADIX := Decimal, Constant := false, ExternalAccess := Read/Write)"</v>
      </c>
    </row>
    <row r="19" spans="1:14" x14ac:dyDescent="0.25">
      <c r="A19" t="s">
        <v>35</v>
      </c>
      <c r="C19" t="s">
        <v>639</v>
      </c>
      <c r="D19" s="14">
        <v>4227</v>
      </c>
      <c r="E19" s="14" t="s">
        <v>1205</v>
      </c>
      <c r="F19" t="s">
        <v>1204</v>
      </c>
      <c r="G19" s="14" t="s">
        <v>722</v>
      </c>
      <c r="H19" t="s">
        <v>1270</v>
      </c>
      <c r="I19" t="str">
        <f t="shared" si="0"/>
        <v>PL2_4227_052_VLV_0133_ZC</v>
      </c>
      <c r="J19" t="s">
        <v>1287</v>
      </c>
      <c r="K19" t="s">
        <v>66</v>
      </c>
      <c r="M19" t="s">
        <v>74</v>
      </c>
      <c r="N19" t="str">
        <f>_xlfn.CONCAT(A19, ",", B19, ",", I19, ",""", J19, """,""", K19, """,""", L19, """,""", M19, """")</f>
        <v>TAG,,PL2_4227_052_VLV_0133_ZC,"BNR Grid 1-3 Flow Control Valve Position Command","REAL","","(RADIX := Float, Constant := false, ExternalAccess := Read/Write)"</v>
      </c>
    </row>
    <row r="20" spans="1:14" x14ac:dyDescent="0.25">
      <c r="A20" t="s">
        <v>35</v>
      </c>
      <c r="C20" t="s">
        <v>639</v>
      </c>
      <c r="D20" s="14">
        <v>4227</v>
      </c>
      <c r="E20" s="14" t="s">
        <v>1205</v>
      </c>
      <c r="F20" t="s">
        <v>1204</v>
      </c>
      <c r="G20" s="14" t="s">
        <v>722</v>
      </c>
      <c r="H20" t="s">
        <v>1223</v>
      </c>
      <c r="I20" t="str">
        <f t="shared" si="0"/>
        <v>PL2_4227_052_VLV_0133_ZI</v>
      </c>
      <c r="J20" t="s">
        <v>1272</v>
      </c>
      <c r="K20" t="s">
        <v>66</v>
      </c>
      <c r="M20" t="s">
        <v>74</v>
      </c>
      <c r="N20" t="str">
        <f>_xlfn.CONCAT(A20, ",", B20, ",", I20, ",""", J20, """,""", K20, """,""", L20, """,""", M20, """")</f>
        <v>TAG,,PL2_4227_052_VLV_0133_ZI,"BNR Grid 1-3 Flow Control Valve Position Feedback","REAL","","(RADIX := Float, Constant := false, ExternalAccess := Read/Write)"</v>
      </c>
    </row>
    <row r="21" spans="1:14" x14ac:dyDescent="0.25">
      <c r="A21" t="s">
        <v>35</v>
      </c>
      <c r="C21" t="s">
        <v>639</v>
      </c>
      <c r="D21" s="14">
        <v>4227</v>
      </c>
      <c r="E21" s="14" t="s">
        <v>1205</v>
      </c>
      <c r="F21" t="s">
        <v>1204</v>
      </c>
      <c r="G21" s="14" t="s">
        <v>722</v>
      </c>
      <c r="H21" t="s">
        <v>1701</v>
      </c>
      <c r="I21" t="str">
        <f t="shared" si="0"/>
        <v>PL2_4227_052_VLV_0133_ZSC</v>
      </c>
      <c r="J21" t="s">
        <v>1719</v>
      </c>
      <c r="K21" t="s">
        <v>44</v>
      </c>
      <c r="M21" t="s">
        <v>73</v>
      </c>
      <c r="N21" t="str">
        <f>_xlfn.CONCAT(A21, ",", B21, ",", I21, ",""", J21, """,""", K21, """,""", L21, """,""", M21, """")</f>
        <v>TAG,,PL2_4227_052_VLV_0133_ZSC,"BNR Grid 1-3 Flow Control Valve Closed","BOOL","","(RADIX := Decimal, Constant := false, ExternalAccess := Read/Write)"</v>
      </c>
    </row>
    <row r="22" spans="1:14" x14ac:dyDescent="0.25">
      <c r="A22" t="s">
        <v>35</v>
      </c>
      <c r="C22" t="s">
        <v>639</v>
      </c>
      <c r="D22" s="14">
        <v>4227</v>
      </c>
      <c r="E22" s="14" t="s">
        <v>1205</v>
      </c>
      <c r="F22" t="s">
        <v>1204</v>
      </c>
      <c r="G22" s="14" t="s">
        <v>722</v>
      </c>
      <c r="H22" t="s">
        <v>1700</v>
      </c>
      <c r="I22" t="str">
        <f t="shared" si="0"/>
        <v>PL2_4227_052_VLV_0133_ZSO</v>
      </c>
      <c r="J22" t="s">
        <v>1704</v>
      </c>
      <c r="K22" t="s">
        <v>44</v>
      </c>
      <c r="M22" t="s">
        <v>73</v>
      </c>
      <c r="N22" t="str">
        <f>_xlfn.CONCAT(A22, ",", B22, ",", I22, ",""", J22, """,""", K22, """,""", L22, """,""", M22, """")</f>
        <v>TAG,,PL2_4227_052_VLV_0133_ZSO,"BNR Grid 1-3 Flow Control Valve Opened","BOOL","","(RADIX := Decimal, Constant := false, ExternalAccess := Read/Write)"</v>
      </c>
    </row>
    <row r="23" spans="1:14" x14ac:dyDescent="0.25">
      <c r="A23" t="s">
        <v>35</v>
      </c>
      <c r="C23" t="s">
        <v>639</v>
      </c>
      <c r="D23" s="14">
        <v>4227</v>
      </c>
      <c r="E23" s="14" t="s">
        <v>1205</v>
      </c>
      <c r="F23" t="s">
        <v>1204</v>
      </c>
      <c r="G23" s="14" t="s">
        <v>1199</v>
      </c>
      <c r="I23" t="str">
        <f t="shared" si="0"/>
        <v>PL2_4227_052_VLV_0134</v>
      </c>
      <c r="J23" t="s">
        <v>1217</v>
      </c>
      <c r="K23" t="s">
        <v>1215</v>
      </c>
      <c r="M23" t="s">
        <v>72</v>
      </c>
      <c r="N23" t="str">
        <f>_xlfn.CONCAT(A23, ",", B23, ",", I23, ",""", J23, """,""", K23, """,""", L23, """,""", M23, """")</f>
        <v>TAG,,PL2_4227_052_VLV_0134,"BNR Grid 1-4 Flow Control Valve","fbValve","","(Constant := false, ExternalAccess := Read/Write)"</v>
      </c>
    </row>
    <row r="24" spans="1:14" x14ac:dyDescent="0.25">
      <c r="A24" t="s">
        <v>35</v>
      </c>
      <c r="C24" t="s">
        <v>639</v>
      </c>
      <c r="D24" s="14">
        <v>4227</v>
      </c>
      <c r="E24" s="14" t="s">
        <v>1205</v>
      </c>
      <c r="F24" t="s">
        <v>1204</v>
      </c>
      <c r="G24" s="14" t="s">
        <v>1199</v>
      </c>
      <c r="H24" t="s">
        <v>790</v>
      </c>
      <c r="I24" t="str">
        <f t="shared" si="0"/>
        <v>PL2_4227_052_VLV_0134_YAF</v>
      </c>
      <c r="J24" t="s">
        <v>1735</v>
      </c>
      <c r="K24" t="s">
        <v>632</v>
      </c>
      <c r="M24" t="s">
        <v>72</v>
      </c>
      <c r="N24" t="str">
        <f>_xlfn.CONCAT(A24, ",", B24, ",", I24, ",""", J24, """,""", K24, """,""", L24, """,""", M24, """")</f>
        <v>TAG,,PL2_4227_052_VLV_0134_YAF,"BNR Grid 1-4 Flow Control Valve Fault","fbDigital","","(Constant := false, ExternalAccess := Read/Write)"</v>
      </c>
    </row>
    <row r="25" spans="1:14" x14ac:dyDescent="0.25">
      <c r="A25" t="s">
        <v>35</v>
      </c>
      <c r="C25" t="s">
        <v>639</v>
      </c>
      <c r="D25" s="14">
        <v>4227</v>
      </c>
      <c r="E25" s="14" t="s">
        <v>1205</v>
      </c>
      <c r="F25" t="s">
        <v>1204</v>
      </c>
      <c r="G25" s="14" t="s">
        <v>1199</v>
      </c>
      <c r="H25" t="s">
        <v>645</v>
      </c>
      <c r="I25" t="str">
        <f t="shared" si="0"/>
        <v>PL2_4227_052_VLV_0134_YCI</v>
      </c>
      <c r="J25" t="s">
        <v>1349</v>
      </c>
      <c r="K25" t="s">
        <v>44</v>
      </c>
      <c r="M25" t="s">
        <v>73</v>
      </c>
      <c r="N25" t="str">
        <f>_xlfn.CONCAT(A25, ",", B25, ",", I25, ",""", J25, """,""", K25, """,""", L25, """,""", M25, """")</f>
        <v>TAG,,PL2_4227_052_VLV_0134_YCI,"BNR Grid 1-4 Flow Control Valve In Remote","BOOL","","(RADIX := Decimal, Constant := false, ExternalAccess := Read/Write)"</v>
      </c>
    </row>
    <row r="26" spans="1:14" x14ac:dyDescent="0.25">
      <c r="A26" t="s">
        <v>35</v>
      </c>
      <c r="C26" t="s">
        <v>639</v>
      </c>
      <c r="D26" s="14">
        <v>4227</v>
      </c>
      <c r="E26" s="14" t="s">
        <v>1205</v>
      </c>
      <c r="F26" t="s">
        <v>1204</v>
      </c>
      <c r="G26" s="14" t="s">
        <v>1199</v>
      </c>
      <c r="H26" t="s">
        <v>1270</v>
      </c>
      <c r="I26" t="str">
        <f t="shared" si="0"/>
        <v>PL2_4227_052_VLV_0134_ZC</v>
      </c>
      <c r="J26" t="s">
        <v>1288</v>
      </c>
      <c r="K26" t="s">
        <v>66</v>
      </c>
      <c r="M26" t="s">
        <v>74</v>
      </c>
      <c r="N26" t="str">
        <f>_xlfn.CONCAT(A26, ",", B26, ",", I26, ",""", J26, """,""", K26, """,""", L26, """,""", M26, """")</f>
        <v>TAG,,PL2_4227_052_VLV_0134_ZC,"BNR Grid 1-4 Flow Control Valve Position Command","REAL","","(RADIX := Float, Constant := false, ExternalAccess := Read/Write)"</v>
      </c>
    </row>
    <row r="27" spans="1:14" x14ac:dyDescent="0.25">
      <c r="A27" t="s">
        <v>35</v>
      </c>
      <c r="C27" t="s">
        <v>639</v>
      </c>
      <c r="D27" s="14">
        <v>4227</v>
      </c>
      <c r="E27" s="14" t="s">
        <v>1205</v>
      </c>
      <c r="F27" t="s">
        <v>1204</v>
      </c>
      <c r="G27" s="14" t="s">
        <v>1199</v>
      </c>
      <c r="H27" t="s">
        <v>1223</v>
      </c>
      <c r="I27" t="str">
        <f t="shared" si="0"/>
        <v>PL2_4227_052_VLV_0134_ZI</v>
      </c>
      <c r="J27" t="s">
        <v>1273</v>
      </c>
      <c r="K27" t="s">
        <v>66</v>
      </c>
      <c r="M27" t="s">
        <v>74</v>
      </c>
      <c r="N27" t="str">
        <f>_xlfn.CONCAT(A27, ",", B27, ",", I27, ",""", J27, """,""", K27, """,""", L27, """,""", M27, """")</f>
        <v>TAG,,PL2_4227_052_VLV_0134_ZI,"BNR Grid 1-4 Flow Control Valve Position Feedback","REAL","","(RADIX := Float, Constant := false, ExternalAccess := Read/Write)"</v>
      </c>
    </row>
    <row r="28" spans="1:14" x14ac:dyDescent="0.25">
      <c r="A28" t="s">
        <v>35</v>
      </c>
      <c r="C28" t="s">
        <v>639</v>
      </c>
      <c r="D28" s="14">
        <v>4227</v>
      </c>
      <c r="E28" s="14" t="s">
        <v>1205</v>
      </c>
      <c r="F28" t="s">
        <v>1204</v>
      </c>
      <c r="G28" s="14" t="s">
        <v>1199</v>
      </c>
      <c r="H28" t="s">
        <v>1701</v>
      </c>
      <c r="I28" t="str">
        <f t="shared" si="0"/>
        <v>PL2_4227_052_VLV_0134_ZSC</v>
      </c>
      <c r="J28" t="s">
        <v>1720</v>
      </c>
      <c r="K28" t="s">
        <v>44</v>
      </c>
      <c r="M28" t="s">
        <v>73</v>
      </c>
      <c r="N28" t="str">
        <f>_xlfn.CONCAT(A28, ",", B28, ",", I28, ",""", J28, """,""", K28, """,""", L28, """,""", M28, """")</f>
        <v>TAG,,PL2_4227_052_VLV_0134_ZSC,"BNR Grid 1-4 Flow Control Valve Closed","BOOL","","(RADIX := Decimal, Constant := false, ExternalAccess := Read/Write)"</v>
      </c>
    </row>
    <row r="29" spans="1:14" x14ac:dyDescent="0.25">
      <c r="A29" t="s">
        <v>35</v>
      </c>
      <c r="C29" t="s">
        <v>639</v>
      </c>
      <c r="D29" s="14">
        <v>4227</v>
      </c>
      <c r="E29" s="14" t="s">
        <v>1205</v>
      </c>
      <c r="F29" t="s">
        <v>1204</v>
      </c>
      <c r="G29" s="14" t="s">
        <v>1199</v>
      </c>
      <c r="H29" t="s">
        <v>1700</v>
      </c>
      <c r="I29" t="str">
        <f t="shared" si="0"/>
        <v>PL2_4227_052_VLV_0134_ZSO</v>
      </c>
      <c r="J29" t="s">
        <v>1705</v>
      </c>
      <c r="K29" t="s">
        <v>44</v>
      </c>
      <c r="M29" t="s">
        <v>73</v>
      </c>
      <c r="N29" t="str">
        <f>_xlfn.CONCAT(A29, ",", B29, ",", I29, ",""", J29, """,""", K29, """,""", L29, """,""", M29, """")</f>
        <v>TAG,,PL2_4227_052_VLV_0134_ZSO,"BNR Grid 1-4 Flow Control Valve Opened","BOOL","","(RADIX := Decimal, Constant := false, ExternalAccess := Read/Write)"</v>
      </c>
    </row>
    <row r="30" spans="1:14" x14ac:dyDescent="0.25">
      <c r="A30" t="s">
        <v>35</v>
      </c>
      <c r="C30" t="s">
        <v>639</v>
      </c>
      <c r="D30" s="14">
        <v>4227</v>
      </c>
      <c r="E30" s="14" t="s">
        <v>1205</v>
      </c>
      <c r="F30" t="s">
        <v>1204</v>
      </c>
      <c r="G30" s="14" t="s">
        <v>723</v>
      </c>
      <c r="I30" t="str">
        <f t="shared" si="0"/>
        <v>PL2_4227_052_VLV_0135</v>
      </c>
      <c r="J30" t="s">
        <v>1207</v>
      </c>
      <c r="K30" t="s">
        <v>1215</v>
      </c>
      <c r="M30" t="s">
        <v>72</v>
      </c>
      <c r="N30" t="str">
        <f>_xlfn.CONCAT(A30, ",", B30, ",", I30, ",""", J30, """,""", K30, """,""", L30, """,""", M30, """")</f>
        <v>TAG,,PL2_4227_052_VLV_0135,"BNR Grid 1-5 Flow Control Valve","fbValve","","(Constant := false, ExternalAccess := Read/Write)"</v>
      </c>
    </row>
    <row r="31" spans="1:14" x14ac:dyDescent="0.25">
      <c r="A31" t="s">
        <v>35</v>
      </c>
      <c r="C31" t="s">
        <v>639</v>
      </c>
      <c r="D31" s="14">
        <v>4227</v>
      </c>
      <c r="E31" s="14" t="s">
        <v>1205</v>
      </c>
      <c r="F31" t="s">
        <v>1204</v>
      </c>
      <c r="G31" s="14" t="s">
        <v>723</v>
      </c>
      <c r="H31" t="s">
        <v>790</v>
      </c>
      <c r="I31" t="str">
        <f t="shared" si="0"/>
        <v>PL2_4227_052_VLV_0135_YAF</v>
      </c>
      <c r="J31" t="s">
        <v>1736</v>
      </c>
      <c r="K31" t="s">
        <v>632</v>
      </c>
      <c r="M31" t="s">
        <v>72</v>
      </c>
      <c r="N31" t="str">
        <f>_xlfn.CONCAT(A31, ",", B31, ",", I31, ",""", J31, """,""", K31, """,""", L31, """,""", M31, """")</f>
        <v>TAG,,PL2_4227_052_VLV_0135_YAF,"BNR Grid 1-5 Flow Control Valve Fault","fbDigital","","(Constant := false, ExternalAccess := Read/Write)"</v>
      </c>
    </row>
    <row r="32" spans="1:14" x14ac:dyDescent="0.25">
      <c r="A32" t="s">
        <v>35</v>
      </c>
      <c r="C32" t="s">
        <v>639</v>
      </c>
      <c r="D32" s="14">
        <v>4227</v>
      </c>
      <c r="E32" s="14" t="s">
        <v>1205</v>
      </c>
      <c r="F32" t="s">
        <v>1204</v>
      </c>
      <c r="G32" s="14" t="s">
        <v>723</v>
      </c>
      <c r="H32" t="s">
        <v>645</v>
      </c>
      <c r="I32" t="str">
        <f t="shared" si="0"/>
        <v>PL2_4227_052_VLV_0135_YCI</v>
      </c>
      <c r="J32" t="s">
        <v>1350</v>
      </c>
      <c r="K32" t="s">
        <v>44</v>
      </c>
      <c r="M32" t="s">
        <v>73</v>
      </c>
      <c r="N32" t="str">
        <f>_xlfn.CONCAT(A32, ",", B32, ",", I32, ",""", J32, """,""", K32, """,""", L32, """,""", M32, """")</f>
        <v>TAG,,PL2_4227_052_VLV_0135_YCI,"BNR Grid 1-5 Flow Control Valve In Remote","BOOL","","(RADIX := Decimal, Constant := false, ExternalAccess := Read/Write)"</v>
      </c>
    </row>
    <row r="33" spans="1:14" x14ac:dyDescent="0.25">
      <c r="A33" t="s">
        <v>35</v>
      </c>
      <c r="C33" t="s">
        <v>639</v>
      </c>
      <c r="D33" s="14">
        <v>4227</v>
      </c>
      <c r="E33" s="14" t="s">
        <v>1205</v>
      </c>
      <c r="F33" t="s">
        <v>1204</v>
      </c>
      <c r="G33" s="14" t="s">
        <v>723</v>
      </c>
      <c r="H33" t="s">
        <v>1270</v>
      </c>
      <c r="I33" t="str">
        <f t="shared" si="0"/>
        <v>PL2_4227_052_VLV_0135_ZC</v>
      </c>
      <c r="J33" t="s">
        <v>1289</v>
      </c>
      <c r="K33" t="s">
        <v>66</v>
      </c>
      <c r="M33" t="s">
        <v>74</v>
      </c>
      <c r="N33" t="str">
        <f>_xlfn.CONCAT(A33, ",", B33, ",", I33, ",""", J33, """,""", K33, """,""", L33, """,""", M33, """")</f>
        <v>TAG,,PL2_4227_052_VLV_0135_ZC,"BNR Grid 1-5 Flow Control Valve Position Command","REAL","","(RADIX := Float, Constant := false, ExternalAccess := Read/Write)"</v>
      </c>
    </row>
    <row r="34" spans="1:14" x14ac:dyDescent="0.25">
      <c r="A34" t="s">
        <v>35</v>
      </c>
      <c r="C34" t="s">
        <v>639</v>
      </c>
      <c r="D34" s="14">
        <v>4227</v>
      </c>
      <c r="E34" s="14" t="s">
        <v>1205</v>
      </c>
      <c r="F34" t="s">
        <v>1204</v>
      </c>
      <c r="G34" s="14" t="s">
        <v>723</v>
      </c>
      <c r="H34" t="s">
        <v>1223</v>
      </c>
      <c r="I34" t="str">
        <f t="shared" si="0"/>
        <v>PL2_4227_052_VLV_0135_ZI</v>
      </c>
      <c r="J34" t="s">
        <v>1274</v>
      </c>
      <c r="K34" t="s">
        <v>66</v>
      </c>
      <c r="M34" t="s">
        <v>74</v>
      </c>
      <c r="N34" t="str">
        <f>_xlfn.CONCAT(A34, ",", B34, ",", I34, ",""", J34, """,""", K34, """,""", L34, """,""", M34, """")</f>
        <v>TAG,,PL2_4227_052_VLV_0135_ZI,"BNR Grid 1-5 Flow Control Valve Position Feedback","REAL","","(RADIX := Float, Constant := false, ExternalAccess := Read/Write)"</v>
      </c>
    </row>
    <row r="35" spans="1:14" x14ac:dyDescent="0.25">
      <c r="A35" t="s">
        <v>35</v>
      </c>
      <c r="C35" t="s">
        <v>639</v>
      </c>
      <c r="D35" s="14">
        <v>4227</v>
      </c>
      <c r="E35" s="14" t="s">
        <v>1205</v>
      </c>
      <c r="F35" t="s">
        <v>1204</v>
      </c>
      <c r="G35" s="14" t="s">
        <v>723</v>
      </c>
      <c r="H35" t="s">
        <v>1701</v>
      </c>
      <c r="I35" t="str">
        <f t="shared" si="0"/>
        <v>PL2_4227_052_VLV_0135_ZSC</v>
      </c>
      <c r="J35" t="s">
        <v>1721</v>
      </c>
      <c r="K35" t="s">
        <v>44</v>
      </c>
      <c r="M35" t="s">
        <v>73</v>
      </c>
      <c r="N35" t="str">
        <f>_xlfn.CONCAT(A35, ",", B35, ",", I35, ",""", J35, """,""", K35, """,""", L35, """,""", M35, """")</f>
        <v>TAG,,PL2_4227_052_VLV_0135_ZSC,"BNR Grid 1-5 Flow Control Valve Closed","BOOL","","(RADIX := Decimal, Constant := false, ExternalAccess := Read/Write)"</v>
      </c>
    </row>
    <row r="36" spans="1:14" x14ac:dyDescent="0.25">
      <c r="A36" t="s">
        <v>35</v>
      </c>
      <c r="C36" t="s">
        <v>639</v>
      </c>
      <c r="D36" s="14">
        <v>4227</v>
      </c>
      <c r="E36" s="14" t="s">
        <v>1205</v>
      </c>
      <c r="F36" t="s">
        <v>1204</v>
      </c>
      <c r="G36" s="14" t="s">
        <v>723</v>
      </c>
      <c r="H36" t="s">
        <v>1700</v>
      </c>
      <c r="I36" t="str">
        <f t="shared" si="0"/>
        <v>PL2_4227_052_VLV_0135_ZSO</v>
      </c>
      <c r="J36" t="s">
        <v>1706</v>
      </c>
      <c r="K36" t="s">
        <v>44</v>
      </c>
      <c r="M36" t="s">
        <v>73</v>
      </c>
      <c r="N36" t="str">
        <f>_xlfn.CONCAT(A36, ",", B36, ",", I36, ",""", J36, """,""", K36, """,""", L36, """,""", M36, """")</f>
        <v>TAG,,PL2_4227_052_VLV_0135_ZSO,"BNR Grid 1-5 Flow Control Valve Opened","BOOL","","(RADIX := Decimal, Constant := false, ExternalAccess := Read/Write)"</v>
      </c>
    </row>
    <row r="37" spans="1:14" x14ac:dyDescent="0.25">
      <c r="A37" t="s">
        <v>35</v>
      </c>
      <c r="C37" t="s">
        <v>639</v>
      </c>
      <c r="D37" s="14">
        <v>4227</v>
      </c>
      <c r="E37" s="14" t="s">
        <v>1205</v>
      </c>
      <c r="F37" t="s">
        <v>1204</v>
      </c>
      <c r="G37" s="14" t="s">
        <v>734</v>
      </c>
      <c r="I37" t="str">
        <f t="shared" si="0"/>
        <v>PL2_4227_052_VLV_0141</v>
      </c>
      <c r="J37" t="s">
        <v>1208</v>
      </c>
      <c r="K37" t="s">
        <v>1215</v>
      </c>
      <c r="M37" t="s">
        <v>72</v>
      </c>
      <c r="N37" t="str">
        <f>_xlfn.CONCAT(A37, ",", B37, ",", I37, ",""", J37, """,""", K37, """,""", L37, """,""", M37, """")</f>
        <v>TAG,,PL2_4227_052_VLV_0141,"BNR Grid 2-1 Flow Control Valve","fbValve","","(Constant := false, ExternalAccess := Read/Write)"</v>
      </c>
    </row>
    <row r="38" spans="1:14" x14ac:dyDescent="0.25">
      <c r="A38" t="s">
        <v>35</v>
      </c>
      <c r="C38" t="s">
        <v>639</v>
      </c>
      <c r="D38" s="14">
        <v>4227</v>
      </c>
      <c r="E38" s="14" t="s">
        <v>1205</v>
      </c>
      <c r="F38" t="s">
        <v>1204</v>
      </c>
      <c r="G38" s="14" t="s">
        <v>734</v>
      </c>
      <c r="H38" t="s">
        <v>790</v>
      </c>
      <c r="I38" t="str">
        <f t="shared" si="0"/>
        <v>PL2_4227_052_VLV_0141_YAF</v>
      </c>
      <c r="J38" t="s">
        <v>1737</v>
      </c>
      <c r="K38" t="s">
        <v>632</v>
      </c>
      <c r="M38" t="s">
        <v>72</v>
      </c>
      <c r="N38" t="str">
        <f>_xlfn.CONCAT(A38, ",", B38, ",", I38, ",""", J38, """,""", K38, """,""", L38, """,""", M38, """")</f>
        <v>TAG,,PL2_4227_052_VLV_0141_YAF,"BNR Grid 2-1 Flow Control Valve Fault","fbDigital","","(Constant := false, ExternalAccess := Read/Write)"</v>
      </c>
    </row>
    <row r="39" spans="1:14" x14ac:dyDescent="0.25">
      <c r="A39" t="s">
        <v>35</v>
      </c>
      <c r="C39" t="s">
        <v>639</v>
      </c>
      <c r="D39" s="14">
        <v>4227</v>
      </c>
      <c r="E39" s="14" t="s">
        <v>1205</v>
      </c>
      <c r="F39" t="s">
        <v>1204</v>
      </c>
      <c r="G39" s="14" t="s">
        <v>734</v>
      </c>
      <c r="H39" t="s">
        <v>645</v>
      </c>
      <c r="I39" t="str">
        <f t="shared" si="0"/>
        <v>PL2_4227_052_VLV_0141_YCI</v>
      </c>
      <c r="J39" t="s">
        <v>1351</v>
      </c>
      <c r="K39" t="s">
        <v>44</v>
      </c>
      <c r="M39" t="s">
        <v>73</v>
      </c>
      <c r="N39" t="str">
        <f>_xlfn.CONCAT(A39, ",", B39, ",", I39, ",""", J39, """,""", K39, """,""", L39, """,""", M39, """")</f>
        <v>TAG,,PL2_4227_052_VLV_0141_YCI,"BNR Grid 2-1 Flow Control Valve In Remote","BOOL","","(RADIX := Decimal, Constant := false, ExternalAccess := Read/Write)"</v>
      </c>
    </row>
    <row r="40" spans="1:14" x14ac:dyDescent="0.25">
      <c r="A40" t="s">
        <v>35</v>
      </c>
      <c r="C40" t="s">
        <v>639</v>
      </c>
      <c r="D40" s="14">
        <v>4227</v>
      </c>
      <c r="E40" s="14" t="s">
        <v>1205</v>
      </c>
      <c r="F40" t="s">
        <v>1204</v>
      </c>
      <c r="G40" s="14" t="s">
        <v>734</v>
      </c>
      <c r="H40" t="s">
        <v>1270</v>
      </c>
      <c r="I40" t="str">
        <f t="shared" si="0"/>
        <v>PL2_4227_052_VLV_0141_ZC</v>
      </c>
      <c r="J40" t="s">
        <v>1290</v>
      </c>
      <c r="K40" t="s">
        <v>66</v>
      </c>
      <c r="M40" t="s">
        <v>74</v>
      </c>
      <c r="N40" t="str">
        <f>_xlfn.CONCAT(A40, ",", B40, ",", I40, ",""", J40, """,""", K40, """,""", L40, """,""", M40, """")</f>
        <v>TAG,,PL2_4227_052_VLV_0141_ZC,"BNR Grid 2-1 Flow Control Valve Position Command","REAL","","(RADIX := Float, Constant := false, ExternalAccess := Read/Write)"</v>
      </c>
    </row>
    <row r="41" spans="1:14" x14ac:dyDescent="0.25">
      <c r="A41" t="s">
        <v>35</v>
      </c>
      <c r="C41" t="s">
        <v>639</v>
      </c>
      <c r="D41" s="14">
        <v>4227</v>
      </c>
      <c r="E41" s="14" t="s">
        <v>1205</v>
      </c>
      <c r="F41" t="s">
        <v>1204</v>
      </c>
      <c r="G41" s="14" t="s">
        <v>734</v>
      </c>
      <c r="H41" t="s">
        <v>1223</v>
      </c>
      <c r="I41" t="str">
        <f t="shared" si="0"/>
        <v>PL2_4227_052_VLV_0141_ZI</v>
      </c>
      <c r="J41" t="s">
        <v>1275</v>
      </c>
      <c r="K41" t="s">
        <v>66</v>
      </c>
      <c r="M41" t="s">
        <v>74</v>
      </c>
      <c r="N41" t="str">
        <f>_xlfn.CONCAT(A41, ",", B41, ",", I41, ",""", J41, """,""", K41, """,""", L41, """,""", M41, """")</f>
        <v>TAG,,PL2_4227_052_VLV_0141_ZI,"BNR Grid 2-1 Flow Control Valve Position Feedback","REAL","","(RADIX := Float, Constant := false, ExternalAccess := Read/Write)"</v>
      </c>
    </row>
    <row r="42" spans="1:14" x14ac:dyDescent="0.25">
      <c r="A42" t="s">
        <v>35</v>
      </c>
      <c r="C42" t="s">
        <v>639</v>
      </c>
      <c r="D42" s="14">
        <v>4227</v>
      </c>
      <c r="E42" s="14" t="s">
        <v>1205</v>
      </c>
      <c r="F42" t="s">
        <v>1204</v>
      </c>
      <c r="G42" s="14" t="s">
        <v>734</v>
      </c>
      <c r="H42" t="s">
        <v>1701</v>
      </c>
      <c r="I42" t="str">
        <f t="shared" si="0"/>
        <v>PL2_4227_052_VLV_0141_ZSC</v>
      </c>
      <c r="J42" t="s">
        <v>1722</v>
      </c>
      <c r="K42" t="s">
        <v>44</v>
      </c>
      <c r="M42" t="s">
        <v>73</v>
      </c>
      <c r="N42" t="str">
        <f>_xlfn.CONCAT(A42, ",", B42, ",", I42, ",""", J42, """,""", K42, """,""", L42, """,""", M42, """")</f>
        <v>TAG,,PL2_4227_052_VLV_0141_ZSC,"BNR Grid 2-1 Flow Control Valve Closed","BOOL","","(RADIX := Decimal, Constant := false, ExternalAccess := Read/Write)"</v>
      </c>
    </row>
    <row r="43" spans="1:14" x14ac:dyDescent="0.25">
      <c r="A43" t="s">
        <v>35</v>
      </c>
      <c r="C43" t="s">
        <v>639</v>
      </c>
      <c r="D43" s="14">
        <v>4227</v>
      </c>
      <c r="E43" s="14" t="s">
        <v>1205</v>
      </c>
      <c r="F43" t="s">
        <v>1204</v>
      </c>
      <c r="G43" s="14" t="s">
        <v>734</v>
      </c>
      <c r="H43" t="s">
        <v>1700</v>
      </c>
      <c r="I43" t="str">
        <f t="shared" si="0"/>
        <v>PL2_4227_052_VLV_0141_ZSO</v>
      </c>
      <c r="J43" t="s">
        <v>1707</v>
      </c>
      <c r="K43" t="s">
        <v>44</v>
      </c>
      <c r="M43" t="s">
        <v>73</v>
      </c>
      <c r="N43" t="str">
        <f>_xlfn.CONCAT(A43, ",", B43, ",", I43, ",""", J43, """,""", K43, """,""", L43, """,""", M43, """")</f>
        <v>TAG,,PL2_4227_052_VLV_0141_ZSO,"BNR Grid 2-1 Flow Control Valve Opened","BOOL","","(RADIX := Decimal, Constant := false, ExternalAccess := Read/Write)"</v>
      </c>
    </row>
    <row r="44" spans="1:14" x14ac:dyDescent="0.25">
      <c r="A44" t="s">
        <v>35</v>
      </c>
      <c r="C44" t="s">
        <v>639</v>
      </c>
      <c r="D44" s="14">
        <v>4227</v>
      </c>
      <c r="E44" s="14" t="s">
        <v>1205</v>
      </c>
      <c r="F44" t="s">
        <v>1204</v>
      </c>
      <c r="G44" s="14" t="s">
        <v>1200</v>
      </c>
      <c r="I44" t="str">
        <f t="shared" si="0"/>
        <v>PL2_4227_052_VLV_0142</v>
      </c>
      <c r="J44" t="s">
        <v>1218</v>
      </c>
      <c r="K44" t="s">
        <v>1215</v>
      </c>
      <c r="M44" t="s">
        <v>72</v>
      </c>
      <c r="N44" t="str">
        <f>_xlfn.CONCAT(A44, ",", B44, ",", I44, ",""", J44, """,""", K44, """,""", L44, """,""", M44, """")</f>
        <v>TAG,,PL2_4227_052_VLV_0142,"BNR Grid 2-2 Flow Control Valve","fbValve","","(Constant := false, ExternalAccess := Read/Write)"</v>
      </c>
    </row>
    <row r="45" spans="1:14" x14ac:dyDescent="0.25">
      <c r="A45" t="s">
        <v>35</v>
      </c>
      <c r="C45" t="s">
        <v>639</v>
      </c>
      <c r="D45" s="14">
        <v>4227</v>
      </c>
      <c r="E45" s="14" t="s">
        <v>1205</v>
      </c>
      <c r="F45" t="s">
        <v>1204</v>
      </c>
      <c r="G45" s="14" t="s">
        <v>1200</v>
      </c>
      <c r="H45" t="s">
        <v>790</v>
      </c>
      <c r="I45" t="str">
        <f t="shared" si="0"/>
        <v>PL2_4227_052_VLV_0142_YAF</v>
      </c>
      <c r="J45" t="s">
        <v>1738</v>
      </c>
      <c r="K45" t="s">
        <v>632</v>
      </c>
      <c r="M45" t="s">
        <v>72</v>
      </c>
      <c r="N45" t="str">
        <f>_xlfn.CONCAT(A45, ",", B45, ",", I45, ",""", J45, """,""", K45, """,""", L45, """,""", M45, """")</f>
        <v>TAG,,PL2_4227_052_VLV_0142_YAF,"BNR Grid 2-2 Flow Control Valve Fault","fbDigital","","(Constant := false, ExternalAccess := Read/Write)"</v>
      </c>
    </row>
    <row r="46" spans="1:14" x14ac:dyDescent="0.25">
      <c r="A46" t="s">
        <v>35</v>
      </c>
      <c r="C46" t="s">
        <v>639</v>
      </c>
      <c r="D46" s="14">
        <v>4227</v>
      </c>
      <c r="E46" s="14" t="s">
        <v>1205</v>
      </c>
      <c r="F46" t="s">
        <v>1204</v>
      </c>
      <c r="G46" s="14" t="s">
        <v>1200</v>
      </c>
      <c r="H46" t="s">
        <v>645</v>
      </c>
      <c r="I46" t="str">
        <f t="shared" si="0"/>
        <v>PL2_4227_052_VLV_0142_YCI</v>
      </c>
      <c r="J46" t="s">
        <v>1352</v>
      </c>
      <c r="K46" t="s">
        <v>44</v>
      </c>
      <c r="M46" t="s">
        <v>73</v>
      </c>
      <c r="N46" t="str">
        <f>_xlfn.CONCAT(A46, ",", B46, ",", I46, ",""", J46, """,""", K46, """,""", L46, """,""", M46, """")</f>
        <v>TAG,,PL2_4227_052_VLV_0142_YCI,"BNR Grid 2-2 Flow Control Valve In Remote","BOOL","","(RADIX := Decimal, Constant := false, ExternalAccess := Read/Write)"</v>
      </c>
    </row>
    <row r="47" spans="1:14" x14ac:dyDescent="0.25">
      <c r="A47" t="s">
        <v>35</v>
      </c>
      <c r="C47" t="s">
        <v>639</v>
      </c>
      <c r="D47" s="14">
        <v>4227</v>
      </c>
      <c r="E47" s="14" t="s">
        <v>1205</v>
      </c>
      <c r="F47" t="s">
        <v>1204</v>
      </c>
      <c r="G47" s="14" t="s">
        <v>1200</v>
      </c>
      <c r="H47" t="s">
        <v>1270</v>
      </c>
      <c r="I47" t="str">
        <f t="shared" si="0"/>
        <v>PL2_4227_052_VLV_0142_ZC</v>
      </c>
      <c r="J47" t="s">
        <v>1291</v>
      </c>
      <c r="K47" t="s">
        <v>66</v>
      </c>
      <c r="M47" t="s">
        <v>74</v>
      </c>
      <c r="N47" t="str">
        <f>_xlfn.CONCAT(A47, ",", B47, ",", I47, ",""", J47, """,""", K47, """,""", L47, """,""", M47, """")</f>
        <v>TAG,,PL2_4227_052_VLV_0142_ZC,"BNR Grid 2-2 Flow Control Valve Position Command","REAL","","(RADIX := Float, Constant := false, ExternalAccess := Read/Write)"</v>
      </c>
    </row>
    <row r="48" spans="1:14" x14ac:dyDescent="0.25">
      <c r="A48" t="s">
        <v>35</v>
      </c>
      <c r="C48" t="s">
        <v>639</v>
      </c>
      <c r="D48" s="14">
        <v>4227</v>
      </c>
      <c r="E48" s="14" t="s">
        <v>1205</v>
      </c>
      <c r="F48" t="s">
        <v>1204</v>
      </c>
      <c r="G48" s="14" t="s">
        <v>1200</v>
      </c>
      <c r="H48" t="s">
        <v>1223</v>
      </c>
      <c r="I48" t="str">
        <f t="shared" si="0"/>
        <v>PL2_4227_052_VLV_0142_ZI</v>
      </c>
      <c r="J48" t="s">
        <v>1276</v>
      </c>
      <c r="K48" t="s">
        <v>66</v>
      </c>
      <c r="M48" t="s">
        <v>74</v>
      </c>
      <c r="N48" t="str">
        <f>_xlfn.CONCAT(A48, ",", B48, ",", I48, ",""", J48, """,""", K48, """,""", L48, """,""", M48, """")</f>
        <v>TAG,,PL2_4227_052_VLV_0142_ZI,"BNR Grid 2-2 Flow Control Valve Position Feedback","REAL","","(RADIX := Float, Constant := false, ExternalAccess := Read/Write)"</v>
      </c>
    </row>
    <row r="49" spans="1:14" x14ac:dyDescent="0.25">
      <c r="A49" t="s">
        <v>35</v>
      </c>
      <c r="C49" t="s">
        <v>639</v>
      </c>
      <c r="D49" s="14">
        <v>4227</v>
      </c>
      <c r="E49" s="14" t="s">
        <v>1205</v>
      </c>
      <c r="F49" t="s">
        <v>1204</v>
      </c>
      <c r="G49" s="14" t="s">
        <v>1200</v>
      </c>
      <c r="H49" t="s">
        <v>1701</v>
      </c>
      <c r="I49" t="str">
        <f t="shared" si="0"/>
        <v>PL2_4227_052_VLV_0142_ZSC</v>
      </c>
      <c r="J49" t="s">
        <v>1723</v>
      </c>
      <c r="K49" t="s">
        <v>44</v>
      </c>
      <c r="M49" t="s">
        <v>73</v>
      </c>
      <c r="N49" t="str">
        <f>_xlfn.CONCAT(A49, ",", B49, ",", I49, ",""", J49, """,""", K49, """,""", L49, """,""", M49, """")</f>
        <v>TAG,,PL2_4227_052_VLV_0142_ZSC,"BNR Grid 2-2 Flow Control Valve Closed","BOOL","","(RADIX := Decimal, Constant := false, ExternalAccess := Read/Write)"</v>
      </c>
    </row>
    <row r="50" spans="1:14" x14ac:dyDescent="0.25">
      <c r="A50" t="s">
        <v>35</v>
      </c>
      <c r="C50" t="s">
        <v>639</v>
      </c>
      <c r="D50" s="14">
        <v>4227</v>
      </c>
      <c r="E50" s="14" t="s">
        <v>1205</v>
      </c>
      <c r="F50" t="s">
        <v>1204</v>
      </c>
      <c r="G50" s="14" t="s">
        <v>1200</v>
      </c>
      <c r="H50" t="s">
        <v>1700</v>
      </c>
      <c r="I50" t="str">
        <f t="shared" si="0"/>
        <v>PL2_4227_052_VLV_0142_ZSO</v>
      </c>
      <c r="J50" t="s">
        <v>1708</v>
      </c>
      <c r="K50" t="s">
        <v>44</v>
      </c>
      <c r="M50" t="s">
        <v>73</v>
      </c>
      <c r="N50" t="str">
        <f>_xlfn.CONCAT(A50, ",", B50, ",", I50, ",""", J50, """,""", K50, """,""", L50, """,""", M50, """")</f>
        <v>TAG,,PL2_4227_052_VLV_0142_ZSO,"BNR Grid 2-2 Flow Control Valve Opened","BOOL","","(RADIX := Decimal, Constant := false, ExternalAccess := Read/Write)"</v>
      </c>
    </row>
    <row r="51" spans="1:14" x14ac:dyDescent="0.25">
      <c r="A51" t="s">
        <v>35</v>
      </c>
      <c r="C51" t="s">
        <v>639</v>
      </c>
      <c r="D51" s="14">
        <v>4227</v>
      </c>
      <c r="E51" s="14" t="s">
        <v>1205</v>
      </c>
      <c r="F51" t="s">
        <v>1204</v>
      </c>
      <c r="G51" s="14" t="s">
        <v>735</v>
      </c>
      <c r="I51" t="str">
        <f t="shared" si="0"/>
        <v>PL2_4227_052_VLV_0143</v>
      </c>
      <c r="J51" t="s">
        <v>1209</v>
      </c>
      <c r="K51" t="s">
        <v>1215</v>
      </c>
      <c r="M51" t="s">
        <v>72</v>
      </c>
      <c r="N51" t="str">
        <f>_xlfn.CONCAT(A51, ",", B51, ",", I51, ",""", J51, """,""", K51, """,""", L51, """,""", M51, """")</f>
        <v>TAG,,PL2_4227_052_VLV_0143,"BNR Grid 2-3 Flow Control Valve","fbValve","","(Constant := false, ExternalAccess := Read/Write)"</v>
      </c>
    </row>
    <row r="52" spans="1:14" x14ac:dyDescent="0.25">
      <c r="A52" t="s">
        <v>35</v>
      </c>
      <c r="C52" t="s">
        <v>639</v>
      </c>
      <c r="D52" s="14">
        <v>4227</v>
      </c>
      <c r="E52" s="14" t="s">
        <v>1205</v>
      </c>
      <c r="F52" t="s">
        <v>1204</v>
      </c>
      <c r="G52" s="14" t="s">
        <v>735</v>
      </c>
      <c r="H52" t="s">
        <v>790</v>
      </c>
      <c r="I52" t="str">
        <f t="shared" si="0"/>
        <v>PL2_4227_052_VLV_0143_YAF</v>
      </c>
      <c r="J52" t="s">
        <v>1739</v>
      </c>
      <c r="K52" t="s">
        <v>632</v>
      </c>
      <c r="M52" t="s">
        <v>72</v>
      </c>
      <c r="N52" t="str">
        <f>_xlfn.CONCAT(A52, ",", B52, ",", I52, ",""", J52, """,""", K52, """,""", L52, """,""", M52, """")</f>
        <v>TAG,,PL2_4227_052_VLV_0143_YAF,"BNR Grid 2-3 Flow Control Valve Fault","fbDigital","","(Constant := false, ExternalAccess := Read/Write)"</v>
      </c>
    </row>
    <row r="53" spans="1:14" x14ac:dyDescent="0.25">
      <c r="A53" t="s">
        <v>35</v>
      </c>
      <c r="C53" t="s">
        <v>639</v>
      </c>
      <c r="D53" s="14">
        <v>4227</v>
      </c>
      <c r="E53" s="14" t="s">
        <v>1205</v>
      </c>
      <c r="F53" t="s">
        <v>1204</v>
      </c>
      <c r="G53" s="14" t="s">
        <v>735</v>
      </c>
      <c r="H53" t="s">
        <v>645</v>
      </c>
      <c r="I53" t="str">
        <f t="shared" si="0"/>
        <v>PL2_4227_052_VLV_0143_YCI</v>
      </c>
      <c r="J53" t="s">
        <v>1353</v>
      </c>
      <c r="K53" t="s">
        <v>44</v>
      </c>
      <c r="M53" t="s">
        <v>73</v>
      </c>
      <c r="N53" t="str">
        <f>_xlfn.CONCAT(A53, ",", B53, ",", I53, ",""", J53, """,""", K53, """,""", L53, """,""", M53, """")</f>
        <v>TAG,,PL2_4227_052_VLV_0143_YCI,"BNR Grid 2-3 Flow Control Valve In Remote","BOOL","","(RADIX := Decimal, Constant := false, ExternalAccess := Read/Write)"</v>
      </c>
    </row>
    <row r="54" spans="1:14" x14ac:dyDescent="0.25">
      <c r="A54" t="s">
        <v>35</v>
      </c>
      <c r="C54" t="s">
        <v>639</v>
      </c>
      <c r="D54" s="14">
        <v>4227</v>
      </c>
      <c r="E54" s="14" t="s">
        <v>1205</v>
      </c>
      <c r="F54" t="s">
        <v>1204</v>
      </c>
      <c r="G54" s="14" t="s">
        <v>735</v>
      </c>
      <c r="H54" t="s">
        <v>1270</v>
      </c>
      <c r="I54" t="str">
        <f t="shared" si="0"/>
        <v>PL2_4227_052_VLV_0143_ZC</v>
      </c>
      <c r="J54" t="s">
        <v>1292</v>
      </c>
      <c r="K54" t="s">
        <v>66</v>
      </c>
      <c r="M54" t="s">
        <v>74</v>
      </c>
      <c r="N54" t="str">
        <f>_xlfn.CONCAT(A54, ",", B54, ",", I54, ",""", J54, """,""", K54, """,""", L54, """,""", M54, """")</f>
        <v>TAG,,PL2_4227_052_VLV_0143_ZC,"BNR Grid 2-3 Flow Control Valve Position Command","REAL","","(RADIX := Float, Constant := false, ExternalAccess := Read/Write)"</v>
      </c>
    </row>
    <row r="55" spans="1:14" x14ac:dyDescent="0.25">
      <c r="A55" t="s">
        <v>35</v>
      </c>
      <c r="C55" t="s">
        <v>639</v>
      </c>
      <c r="D55" s="14">
        <v>4227</v>
      </c>
      <c r="E55" s="14" t="s">
        <v>1205</v>
      </c>
      <c r="F55" t="s">
        <v>1204</v>
      </c>
      <c r="G55" s="14" t="s">
        <v>735</v>
      </c>
      <c r="H55" t="s">
        <v>1223</v>
      </c>
      <c r="I55" t="str">
        <f t="shared" si="0"/>
        <v>PL2_4227_052_VLV_0143_ZI</v>
      </c>
      <c r="J55" t="s">
        <v>1277</v>
      </c>
      <c r="K55" t="s">
        <v>66</v>
      </c>
      <c r="M55" t="s">
        <v>74</v>
      </c>
      <c r="N55" t="str">
        <f>_xlfn.CONCAT(A55, ",", B55, ",", I55, ",""", J55, """,""", K55, """,""", L55, """,""", M55, """")</f>
        <v>TAG,,PL2_4227_052_VLV_0143_ZI,"BNR Grid 2-3 Flow Control Valve Position Feedback","REAL","","(RADIX := Float, Constant := false, ExternalAccess := Read/Write)"</v>
      </c>
    </row>
    <row r="56" spans="1:14" x14ac:dyDescent="0.25">
      <c r="A56" t="s">
        <v>35</v>
      </c>
      <c r="C56" t="s">
        <v>639</v>
      </c>
      <c r="D56" s="14">
        <v>4227</v>
      </c>
      <c r="E56" s="14" t="s">
        <v>1205</v>
      </c>
      <c r="F56" t="s">
        <v>1204</v>
      </c>
      <c r="G56" s="14" t="s">
        <v>735</v>
      </c>
      <c r="H56" t="s">
        <v>1701</v>
      </c>
      <c r="I56" t="str">
        <f t="shared" si="0"/>
        <v>PL2_4227_052_VLV_0143_ZSC</v>
      </c>
      <c r="J56" t="s">
        <v>1724</v>
      </c>
      <c r="K56" t="s">
        <v>44</v>
      </c>
      <c r="M56" t="s">
        <v>73</v>
      </c>
      <c r="N56" t="str">
        <f>_xlfn.CONCAT(A56, ",", B56, ",", I56, ",""", J56, """,""", K56, """,""", L56, """,""", M56, """")</f>
        <v>TAG,,PL2_4227_052_VLV_0143_ZSC,"BNR Grid 2-3 Flow Control Valve Closed","BOOL","","(RADIX := Decimal, Constant := false, ExternalAccess := Read/Write)"</v>
      </c>
    </row>
    <row r="57" spans="1:14" x14ac:dyDescent="0.25">
      <c r="A57" t="s">
        <v>35</v>
      </c>
      <c r="C57" t="s">
        <v>639</v>
      </c>
      <c r="D57" s="14">
        <v>4227</v>
      </c>
      <c r="E57" s="14" t="s">
        <v>1205</v>
      </c>
      <c r="F57" t="s">
        <v>1204</v>
      </c>
      <c r="G57" s="14" t="s">
        <v>735</v>
      </c>
      <c r="H57" t="s">
        <v>1700</v>
      </c>
      <c r="I57" t="str">
        <f t="shared" si="0"/>
        <v>PL2_4227_052_VLV_0143_ZSO</v>
      </c>
      <c r="J57" t="s">
        <v>1709</v>
      </c>
      <c r="K57" t="s">
        <v>44</v>
      </c>
      <c r="M57" t="s">
        <v>73</v>
      </c>
      <c r="N57" t="str">
        <f>_xlfn.CONCAT(A57, ",", B57, ",", I57, ",""", J57, """,""", K57, """,""", L57, """,""", M57, """")</f>
        <v>TAG,,PL2_4227_052_VLV_0143_ZSO,"BNR Grid 2-3 Flow Control Valve Opened","BOOL","","(RADIX := Decimal, Constant := false, ExternalAccess := Read/Write)"</v>
      </c>
    </row>
    <row r="58" spans="1:14" x14ac:dyDescent="0.25">
      <c r="A58" t="s">
        <v>35</v>
      </c>
      <c r="C58" t="s">
        <v>639</v>
      </c>
      <c r="D58" s="14">
        <v>4227</v>
      </c>
      <c r="E58" s="14" t="s">
        <v>1205</v>
      </c>
      <c r="F58" t="s">
        <v>1204</v>
      </c>
      <c r="G58" s="14" t="s">
        <v>1201</v>
      </c>
      <c r="I58" t="str">
        <f t="shared" si="0"/>
        <v>PL2_4227_052_VLV_0144</v>
      </c>
      <c r="J58" t="s">
        <v>1219</v>
      </c>
      <c r="K58" t="s">
        <v>1215</v>
      </c>
      <c r="M58" t="s">
        <v>72</v>
      </c>
      <c r="N58" t="str">
        <f>_xlfn.CONCAT(A58, ",", B58, ",", I58, ",""", J58, """,""", K58, """,""", L58, """,""", M58, """")</f>
        <v>TAG,,PL2_4227_052_VLV_0144,"BNR Grid 2-4 Flow Control Valve","fbValve","","(Constant := false, ExternalAccess := Read/Write)"</v>
      </c>
    </row>
    <row r="59" spans="1:14" x14ac:dyDescent="0.25">
      <c r="A59" t="s">
        <v>35</v>
      </c>
      <c r="C59" t="s">
        <v>639</v>
      </c>
      <c r="D59" s="14">
        <v>4227</v>
      </c>
      <c r="E59" s="14" t="s">
        <v>1205</v>
      </c>
      <c r="F59" t="s">
        <v>1204</v>
      </c>
      <c r="G59" s="14" t="s">
        <v>1201</v>
      </c>
      <c r="H59" t="s">
        <v>790</v>
      </c>
      <c r="I59" t="str">
        <f t="shared" si="0"/>
        <v>PL2_4227_052_VLV_0144_YAF</v>
      </c>
      <c r="J59" t="s">
        <v>1740</v>
      </c>
      <c r="K59" t="s">
        <v>632</v>
      </c>
      <c r="M59" t="s">
        <v>72</v>
      </c>
      <c r="N59" t="str">
        <f>_xlfn.CONCAT(A59, ",", B59, ",", I59, ",""", J59, """,""", K59, """,""", L59, """,""", M59, """")</f>
        <v>TAG,,PL2_4227_052_VLV_0144_YAF,"BNR Grid 2-4 Flow Control Valve Fault","fbDigital","","(Constant := false, ExternalAccess := Read/Write)"</v>
      </c>
    </row>
    <row r="60" spans="1:14" x14ac:dyDescent="0.25">
      <c r="A60" t="s">
        <v>35</v>
      </c>
      <c r="C60" t="s">
        <v>639</v>
      </c>
      <c r="D60" s="14">
        <v>4227</v>
      </c>
      <c r="E60" s="14" t="s">
        <v>1205</v>
      </c>
      <c r="F60" t="s">
        <v>1204</v>
      </c>
      <c r="G60" s="14" t="s">
        <v>1201</v>
      </c>
      <c r="H60" t="s">
        <v>645</v>
      </c>
      <c r="I60" t="str">
        <f t="shared" si="0"/>
        <v>PL2_4227_052_VLV_0144_YCI</v>
      </c>
      <c r="J60" t="s">
        <v>1354</v>
      </c>
      <c r="K60" t="s">
        <v>44</v>
      </c>
      <c r="M60" t="s">
        <v>73</v>
      </c>
      <c r="N60" t="str">
        <f>_xlfn.CONCAT(A60, ",", B60, ",", I60, ",""", J60, """,""", K60, """,""", L60, """,""", M60, """")</f>
        <v>TAG,,PL2_4227_052_VLV_0144_YCI,"BNR Grid 2-4 Flow Control Valve In Remote","BOOL","","(RADIX := Decimal, Constant := false, ExternalAccess := Read/Write)"</v>
      </c>
    </row>
    <row r="61" spans="1:14" x14ac:dyDescent="0.25">
      <c r="A61" t="s">
        <v>35</v>
      </c>
      <c r="C61" t="s">
        <v>639</v>
      </c>
      <c r="D61" s="14">
        <v>4227</v>
      </c>
      <c r="E61" s="14" t="s">
        <v>1205</v>
      </c>
      <c r="F61" t="s">
        <v>1204</v>
      </c>
      <c r="G61" s="14" t="s">
        <v>1201</v>
      </c>
      <c r="H61" t="s">
        <v>1270</v>
      </c>
      <c r="I61" t="str">
        <f t="shared" si="0"/>
        <v>PL2_4227_052_VLV_0144_ZC</v>
      </c>
      <c r="J61" t="s">
        <v>1293</v>
      </c>
      <c r="K61" t="s">
        <v>66</v>
      </c>
      <c r="M61" t="s">
        <v>74</v>
      </c>
      <c r="N61" t="str">
        <f>_xlfn.CONCAT(A61, ",", B61, ",", I61, ",""", J61, """,""", K61, """,""", L61, """,""", M61, """")</f>
        <v>TAG,,PL2_4227_052_VLV_0144_ZC,"BNR Grid 2-4 Flow Control Valve Position Command","REAL","","(RADIX := Float, Constant := false, ExternalAccess := Read/Write)"</v>
      </c>
    </row>
    <row r="62" spans="1:14" x14ac:dyDescent="0.25">
      <c r="A62" t="s">
        <v>35</v>
      </c>
      <c r="C62" t="s">
        <v>639</v>
      </c>
      <c r="D62" s="14">
        <v>4227</v>
      </c>
      <c r="E62" s="14" t="s">
        <v>1205</v>
      </c>
      <c r="F62" t="s">
        <v>1204</v>
      </c>
      <c r="G62" s="14" t="s">
        <v>1201</v>
      </c>
      <c r="H62" t="s">
        <v>1223</v>
      </c>
      <c r="I62" t="str">
        <f t="shared" si="0"/>
        <v>PL2_4227_052_VLV_0144_ZI</v>
      </c>
      <c r="J62" t="s">
        <v>1278</v>
      </c>
      <c r="K62" t="s">
        <v>66</v>
      </c>
      <c r="M62" t="s">
        <v>74</v>
      </c>
      <c r="N62" t="str">
        <f>_xlfn.CONCAT(A62, ",", B62, ",", I62, ",""", J62, """,""", K62, """,""", L62, """,""", M62, """")</f>
        <v>TAG,,PL2_4227_052_VLV_0144_ZI,"BNR Grid 2-4 Flow Control Valve Position Feedback","REAL","","(RADIX := Float, Constant := false, ExternalAccess := Read/Write)"</v>
      </c>
    </row>
    <row r="63" spans="1:14" x14ac:dyDescent="0.25">
      <c r="A63" t="s">
        <v>35</v>
      </c>
      <c r="C63" t="s">
        <v>639</v>
      </c>
      <c r="D63" s="14">
        <v>4227</v>
      </c>
      <c r="E63" s="14" t="s">
        <v>1205</v>
      </c>
      <c r="F63" t="s">
        <v>1204</v>
      </c>
      <c r="G63" s="14" t="s">
        <v>1201</v>
      </c>
      <c r="H63" t="s">
        <v>1701</v>
      </c>
      <c r="I63" t="str">
        <f t="shared" si="0"/>
        <v>PL2_4227_052_VLV_0144_ZSC</v>
      </c>
      <c r="J63" t="s">
        <v>1725</v>
      </c>
      <c r="K63" t="s">
        <v>44</v>
      </c>
      <c r="M63" t="s">
        <v>73</v>
      </c>
      <c r="N63" t="str">
        <f>_xlfn.CONCAT(A63, ",", B63, ",", I63, ",""", J63, """,""", K63, """,""", L63, """,""", M63, """")</f>
        <v>TAG,,PL2_4227_052_VLV_0144_ZSC,"BNR Grid 2-4 Flow Control Valve Closed","BOOL","","(RADIX := Decimal, Constant := false, ExternalAccess := Read/Write)"</v>
      </c>
    </row>
    <row r="64" spans="1:14" x14ac:dyDescent="0.25">
      <c r="A64" t="s">
        <v>35</v>
      </c>
      <c r="C64" t="s">
        <v>639</v>
      </c>
      <c r="D64" s="14">
        <v>4227</v>
      </c>
      <c r="E64" s="14" t="s">
        <v>1205</v>
      </c>
      <c r="F64" t="s">
        <v>1204</v>
      </c>
      <c r="G64" s="14" t="s">
        <v>1201</v>
      </c>
      <c r="H64" t="s">
        <v>1700</v>
      </c>
      <c r="I64" t="str">
        <f t="shared" si="0"/>
        <v>PL2_4227_052_VLV_0144_ZSO</v>
      </c>
      <c r="J64" t="s">
        <v>1710</v>
      </c>
      <c r="K64" t="s">
        <v>44</v>
      </c>
      <c r="M64" t="s">
        <v>73</v>
      </c>
      <c r="N64" t="str">
        <f>_xlfn.CONCAT(A64, ",", B64, ",", I64, ",""", J64, """,""", K64, """,""", L64, """,""", M64, """")</f>
        <v>TAG,,PL2_4227_052_VLV_0144_ZSO,"BNR Grid 2-4 Flow Control Valve Opened","BOOL","","(RADIX := Decimal, Constant := false, ExternalAccess := Read/Write)"</v>
      </c>
    </row>
    <row r="65" spans="1:14" x14ac:dyDescent="0.25">
      <c r="A65" t="s">
        <v>35</v>
      </c>
      <c r="C65" t="s">
        <v>639</v>
      </c>
      <c r="D65" s="14">
        <v>4227</v>
      </c>
      <c r="E65" s="14" t="s">
        <v>1205</v>
      </c>
      <c r="F65" t="s">
        <v>1204</v>
      </c>
      <c r="G65" s="14" t="s">
        <v>736</v>
      </c>
      <c r="I65" t="str">
        <f t="shared" si="0"/>
        <v>PL2_4227_052_VLV_0145</v>
      </c>
      <c r="J65" t="s">
        <v>1210</v>
      </c>
      <c r="K65" t="s">
        <v>1215</v>
      </c>
      <c r="M65" t="s">
        <v>72</v>
      </c>
      <c r="N65" t="str">
        <f>_xlfn.CONCAT(A65, ",", B65, ",", I65, ",""", J65, """,""", K65, """,""", L65, """,""", M65, """")</f>
        <v>TAG,,PL2_4227_052_VLV_0145,"BNR Grid 2-5 Flow Control Valve","fbValve","","(Constant := false, ExternalAccess := Read/Write)"</v>
      </c>
    </row>
    <row r="66" spans="1:14" x14ac:dyDescent="0.25">
      <c r="A66" t="s">
        <v>35</v>
      </c>
      <c r="C66" t="s">
        <v>639</v>
      </c>
      <c r="D66" s="14">
        <v>4227</v>
      </c>
      <c r="E66" s="14" t="s">
        <v>1205</v>
      </c>
      <c r="F66" t="s">
        <v>1204</v>
      </c>
      <c r="G66" s="14" t="s">
        <v>736</v>
      </c>
      <c r="H66" t="s">
        <v>790</v>
      </c>
      <c r="I66" t="str">
        <f t="shared" si="0"/>
        <v>PL2_4227_052_VLV_0145_YAF</v>
      </c>
      <c r="J66" t="s">
        <v>1741</v>
      </c>
      <c r="K66" t="s">
        <v>632</v>
      </c>
      <c r="M66" t="s">
        <v>72</v>
      </c>
      <c r="N66" t="str">
        <f>_xlfn.CONCAT(A66, ",", B66, ",", I66, ",""", J66, """,""", K66, """,""", L66, """,""", M66, """")</f>
        <v>TAG,,PL2_4227_052_VLV_0145_YAF,"BNR Grid 2-5 Flow Control Valve Fault","fbDigital","","(Constant := false, ExternalAccess := Read/Write)"</v>
      </c>
    </row>
    <row r="67" spans="1:14" x14ac:dyDescent="0.25">
      <c r="A67" t="s">
        <v>35</v>
      </c>
      <c r="C67" t="s">
        <v>639</v>
      </c>
      <c r="D67" s="14">
        <v>4227</v>
      </c>
      <c r="E67" s="14" t="s">
        <v>1205</v>
      </c>
      <c r="F67" t="s">
        <v>1204</v>
      </c>
      <c r="G67" s="14" t="s">
        <v>736</v>
      </c>
      <c r="H67" t="s">
        <v>645</v>
      </c>
      <c r="I67" t="str">
        <f t="shared" ref="I67:I130" si="1">_xlfn.CONCAT(C67,"_",D67,"_",_xlfn.CONCAT(E67, "_"),F67,"_",G67, IF(ISBLANK(H67), "", _xlfn.CONCAT("_",H67)))</f>
        <v>PL2_4227_052_VLV_0145_YCI</v>
      </c>
      <c r="J67" t="s">
        <v>1355</v>
      </c>
      <c r="K67" t="s">
        <v>44</v>
      </c>
      <c r="M67" t="s">
        <v>73</v>
      </c>
      <c r="N67" t="str">
        <f>_xlfn.CONCAT(A67, ",", B67, ",", I67, ",""", J67, """,""", K67, """,""", L67, """,""", M67, """")</f>
        <v>TAG,,PL2_4227_052_VLV_0145_YCI,"BNR Grid 2-5 Flow Control Valve In Remote","BOOL","","(RADIX := Decimal, Constant := false, ExternalAccess := Read/Write)"</v>
      </c>
    </row>
    <row r="68" spans="1:14" x14ac:dyDescent="0.25">
      <c r="A68" t="s">
        <v>35</v>
      </c>
      <c r="C68" t="s">
        <v>639</v>
      </c>
      <c r="D68" s="14">
        <v>4227</v>
      </c>
      <c r="E68" s="14" t="s">
        <v>1205</v>
      </c>
      <c r="F68" t="s">
        <v>1204</v>
      </c>
      <c r="G68" s="14" t="s">
        <v>736</v>
      </c>
      <c r="H68" t="s">
        <v>1270</v>
      </c>
      <c r="I68" t="str">
        <f t="shared" si="1"/>
        <v>PL2_4227_052_VLV_0145_ZC</v>
      </c>
      <c r="J68" t="s">
        <v>1294</v>
      </c>
      <c r="K68" t="s">
        <v>66</v>
      </c>
      <c r="M68" t="s">
        <v>74</v>
      </c>
      <c r="N68" t="str">
        <f>_xlfn.CONCAT(A68, ",", B68, ",", I68, ",""", J68, """,""", K68, """,""", L68, """,""", M68, """")</f>
        <v>TAG,,PL2_4227_052_VLV_0145_ZC,"BNR Grid 2-5 Flow Control Valve Position Command","REAL","","(RADIX := Float, Constant := false, ExternalAccess := Read/Write)"</v>
      </c>
    </row>
    <row r="69" spans="1:14" x14ac:dyDescent="0.25">
      <c r="A69" t="s">
        <v>35</v>
      </c>
      <c r="C69" t="s">
        <v>639</v>
      </c>
      <c r="D69" s="14">
        <v>4227</v>
      </c>
      <c r="E69" s="14" t="s">
        <v>1205</v>
      </c>
      <c r="F69" t="s">
        <v>1204</v>
      </c>
      <c r="G69" s="14" t="s">
        <v>736</v>
      </c>
      <c r="H69" t="s">
        <v>1223</v>
      </c>
      <c r="I69" t="str">
        <f t="shared" si="1"/>
        <v>PL2_4227_052_VLV_0145_ZI</v>
      </c>
      <c r="J69" t="s">
        <v>1279</v>
      </c>
      <c r="K69" t="s">
        <v>66</v>
      </c>
      <c r="M69" t="s">
        <v>74</v>
      </c>
      <c r="N69" t="str">
        <f>_xlfn.CONCAT(A69, ",", B69, ",", I69, ",""", J69, """,""", K69, """,""", L69, """,""", M69, """")</f>
        <v>TAG,,PL2_4227_052_VLV_0145_ZI,"BNR Grid 2-5 Flow Control Valve Position Feedback","REAL","","(RADIX := Float, Constant := false, ExternalAccess := Read/Write)"</v>
      </c>
    </row>
    <row r="70" spans="1:14" x14ac:dyDescent="0.25">
      <c r="A70" t="s">
        <v>35</v>
      </c>
      <c r="C70" t="s">
        <v>639</v>
      </c>
      <c r="D70" s="14">
        <v>4227</v>
      </c>
      <c r="E70" s="14" t="s">
        <v>1205</v>
      </c>
      <c r="F70" t="s">
        <v>1204</v>
      </c>
      <c r="G70" s="14" t="s">
        <v>736</v>
      </c>
      <c r="H70" t="s">
        <v>1701</v>
      </c>
      <c r="I70" t="str">
        <f t="shared" si="1"/>
        <v>PL2_4227_052_VLV_0145_ZSC</v>
      </c>
      <c r="J70" t="s">
        <v>1726</v>
      </c>
      <c r="K70" t="s">
        <v>44</v>
      </c>
      <c r="M70" t="s">
        <v>73</v>
      </c>
      <c r="N70" t="str">
        <f>_xlfn.CONCAT(A70, ",", B70, ",", I70, ",""", J70, """,""", K70, """,""", L70, """,""", M70, """")</f>
        <v>TAG,,PL2_4227_052_VLV_0145_ZSC,"BNR Grid 2-5 Flow Control Valve Closed","BOOL","","(RADIX := Decimal, Constant := false, ExternalAccess := Read/Write)"</v>
      </c>
    </row>
    <row r="71" spans="1:14" x14ac:dyDescent="0.25">
      <c r="A71" t="s">
        <v>35</v>
      </c>
      <c r="C71" t="s">
        <v>639</v>
      </c>
      <c r="D71" s="14">
        <v>4227</v>
      </c>
      <c r="E71" s="14" t="s">
        <v>1205</v>
      </c>
      <c r="F71" t="s">
        <v>1204</v>
      </c>
      <c r="G71" s="14" t="s">
        <v>736</v>
      </c>
      <c r="H71" t="s">
        <v>1700</v>
      </c>
      <c r="I71" t="str">
        <f t="shared" si="1"/>
        <v>PL2_4227_052_VLV_0145_ZSO</v>
      </c>
      <c r="J71" t="s">
        <v>1711</v>
      </c>
      <c r="K71" t="s">
        <v>44</v>
      </c>
      <c r="M71" t="s">
        <v>73</v>
      </c>
      <c r="N71" t="str">
        <f>_xlfn.CONCAT(A71, ",", B71, ",", I71, ",""", J71, """,""", K71, """,""", L71, """,""", M71, """")</f>
        <v>TAG,,PL2_4227_052_VLV_0145_ZSO,"BNR Grid 2-5 Flow Control Valve Opened","BOOL","","(RADIX := Decimal, Constant := false, ExternalAccess := Read/Write)"</v>
      </c>
    </row>
    <row r="72" spans="1:14" x14ac:dyDescent="0.25">
      <c r="A72" t="s">
        <v>35</v>
      </c>
      <c r="C72" t="s">
        <v>639</v>
      </c>
      <c r="D72" s="14">
        <v>4227</v>
      </c>
      <c r="E72" s="14" t="s">
        <v>1205</v>
      </c>
      <c r="F72" t="s">
        <v>1204</v>
      </c>
      <c r="G72" s="14" t="s">
        <v>737</v>
      </c>
      <c r="I72" t="str">
        <f t="shared" si="1"/>
        <v>PL2_4227_052_VLV_0151</v>
      </c>
      <c r="J72" t="s">
        <v>1211</v>
      </c>
      <c r="K72" t="s">
        <v>1215</v>
      </c>
      <c r="M72" t="s">
        <v>72</v>
      </c>
      <c r="N72" t="str">
        <f>_xlfn.CONCAT(A72, ",", B72, ",", I72, ",""", J72, """,""", K72, """,""", L72, """,""", M72, """")</f>
        <v>TAG,,PL2_4227_052_VLV_0151,"BNR Grid 3-1 Flow Control Valve","fbValve","","(Constant := false, ExternalAccess := Read/Write)"</v>
      </c>
    </row>
    <row r="73" spans="1:14" x14ac:dyDescent="0.25">
      <c r="A73" t="s">
        <v>35</v>
      </c>
      <c r="C73" t="s">
        <v>639</v>
      </c>
      <c r="D73" s="14">
        <v>4227</v>
      </c>
      <c r="E73" s="14" t="s">
        <v>1205</v>
      </c>
      <c r="F73" t="s">
        <v>1204</v>
      </c>
      <c r="G73" s="14" t="s">
        <v>737</v>
      </c>
      <c r="H73" t="s">
        <v>790</v>
      </c>
      <c r="I73" t="str">
        <f t="shared" si="1"/>
        <v>PL2_4227_052_VLV_0151_YAF</v>
      </c>
      <c r="J73" t="s">
        <v>1742</v>
      </c>
      <c r="K73" t="s">
        <v>632</v>
      </c>
      <c r="M73" t="s">
        <v>72</v>
      </c>
      <c r="N73" t="str">
        <f>_xlfn.CONCAT(A73, ",", B73, ",", I73, ",""", J73, """,""", K73, """,""", L73, """,""", M73, """")</f>
        <v>TAG,,PL2_4227_052_VLV_0151_YAF,"BNR Grid 3-1 Flow Control Valve Fault","fbDigital","","(Constant := false, ExternalAccess := Read/Write)"</v>
      </c>
    </row>
    <row r="74" spans="1:14" x14ac:dyDescent="0.25">
      <c r="A74" t="s">
        <v>35</v>
      </c>
      <c r="C74" t="s">
        <v>639</v>
      </c>
      <c r="D74" s="14">
        <v>4227</v>
      </c>
      <c r="E74" s="14" t="s">
        <v>1205</v>
      </c>
      <c r="F74" t="s">
        <v>1204</v>
      </c>
      <c r="G74" s="14" t="s">
        <v>737</v>
      </c>
      <c r="H74" t="s">
        <v>645</v>
      </c>
      <c r="I74" t="str">
        <f t="shared" si="1"/>
        <v>PL2_4227_052_VLV_0151_YCI</v>
      </c>
      <c r="J74" t="s">
        <v>1356</v>
      </c>
      <c r="K74" t="s">
        <v>44</v>
      </c>
      <c r="M74" t="s">
        <v>73</v>
      </c>
      <c r="N74" t="str">
        <f>_xlfn.CONCAT(A74, ",", B74, ",", I74, ",""", J74, """,""", K74, """,""", L74, """,""", M74, """")</f>
        <v>TAG,,PL2_4227_052_VLV_0151_YCI,"BNR Grid 3-1 Flow Control Valve In Remote","BOOL","","(RADIX := Decimal, Constant := false, ExternalAccess := Read/Write)"</v>
      </c>
    </row>
    <row r="75" spans="1:14" x14ac:dyDescent="0.25">
      <c r="A75" t="s">
        <v>35</v>
      </c>
      <c r="C75" t="s">
        <v>639</v>
      </c>
      <c r="D75" s="14">
        <v>4227</v>
      </c>
      <c r="E75" s="14" t="s">
        <v>1205</v>
      </c>
      <c r="F75" t="s">
        <v>1204</v>
      </c>
      <c r="G75" s="14" t="s">
        <v>737</v>
      </c>
      <c r="H75" t="s">
        <v>1270</v>
      </c>
      <c r="I75" t="str">
        <f t="shared" si="1"/>
        <v>PL2_4227_052_VLV_0151_ZC</v>
      </c>
      <c r="J75" t="s">
        <v>1295</v>
      </c>
      <c r="K75" t="s">
        <v>66</v>
      </c>
      <c r="M75" t="s">
        <v>74</v>
      </c>
      <c r="N75" t="str">
        <f>_xlfn.CONCAT(A75, ",", B75, ",", I75, ",""", J75, """,""", K75, """,""", L75, """,""", M75, """")</f>
        <v>TAG,,PL2_4227_052_VLV_0151_ZC,"BNR Grid 3-1 Flow Control Valve Position Command","REAL","","(RADIX := Float, Constant := false, ExternalAccess := Read/Write)"</v>
      </c>
    </row>
    <row r="76" spans="1:14" x14ac:dyDescent="0.25">
      <c r="A76" t="s">
        <v>35</v>
      </c>
      <c r="C76" t="s">
        <v>639</v>
      </c>
      <c r="D76" s="14">
        <v>4227</v>
      </c>
      <c r="E76" s="14" t="s">
        <v>1205</v>
      </c>
      <c r="F76" t="s">
        <v>1204</v>
      </c>
      <c r="G76" s="14" t="s">
        <v>737</v>
      </c>
      <c r="H76" t="s">
        <v>1223</v>
      </c>
      <c r="I76" t="str">
        <f t="shared" si="1"/>
        <v>PL2_4227_052_VLV_0151_ZI</v>
      </c>
      <c r="J76" t="s">
        <v>1280</v>
      </c>
      <c r="K76" t="s">
        <v>66</v>
      </c>
      <c r="M76" t="s">
        <v>74</v>
      </c>
      <c r="N76" t="str">
        <f>_xlfn.CONCAT(A76, ",", B76, ",", I76, ",""", J76, """,""", K76, """,""", L76, """,""", M76, """")</f>
        <v>TAG,,PL2_4227_052_VLV_0151_ZI,"BNR Grid 3-1 Flow Control Valve Position Feedback","REAL","","(RADIX := Float, Constant := false, ExternalAccess := Read/Write)"</v>
      </c>
    </row>
    <row r="77" spans="1:14" x14ac:dyDescent="0.25">
      <c r="A77" t="s">
        <v>35</v>
      </c>
      <c r="C77" t="s">
        <v>639</v>
      </c>
      <c r="D77" s="14">
        <v>4227</v>
      </c>
      <c r="E77" s="14" t="s">
        <v>1205</v>
      </c>
      <c r="F77" t="s">
        <v>1204</v>
      </c>
      <c r="G77" s="14" t="s">
        <v>737</v>
      </c>
      <c r="H77" t="s">
        <v>1701</v>
      </c>
      <c r="I77" t="str">
        <f t="shared" si="1"/>
        <v>PL2_4227_052_VLV_0151_ZSC</v>
      </c>
      <c r="J77" t="s">
        <v>1727</v>
      </c>
      <c r="K77" t="s">
        <v>44</v>
      </c>
      <c r="M77" t="s">
        <v>73</v>
      </c>
      <c r="N77" t="str">
        <f>_xlfn.CONCAT(A77, ",", B77, ",", I77, ",""", J77, """,""", K77, """,""", L77, """,""", M77, """")</f>
        <v>TAG,,PL2_4227_052_VLV_0151_ZSC,"BNR Grid 3-1 Flow Control Valve Closed","BOOL","","(RADIX := Decimal, Constant := false, ExternalAccess := Read/Write)"</v>
      </c>
    </row>
    <row r="78" spans="1:14" x14ac:dyDescent="0.25">
      <c r="A78" t="s">
        <v>35</v>
      </c>
      <c r="C78" t="s">
        <v>639</v>
      </c>
      <c r="D78" s="14">
        <v>4227</v>
      </c>
      <c r="E78" s="14" t="s">
        <v>1205</v>
      </c>
      <c r="F78" t="s">
        <v>1204</v>
      </c>
      <c r="G78" s="14" t="s">
        <v>737</v>
      </c>
      <c r="H78" t="s">
        <v>1700</v>
      </c>
      <c r="I78" t="str">
        <f t="shared" si="1"/>
        <v>PL2_4227_052_VLV_0151_ZSO</v>
      </c>
      <c r="J78" t="s">
        <v>1712</v>
      </c>
      <c r="K78" t="s">
        <v>44</v>
      </c>
      <c r="M78" t="s">
        <v>73</v>
      </c>
      <c r="N78" t="str">
        <f>_xlfn.CONCAT(A78, ",", B78, ",", I78, ",""", J78, """,""", K78, """,""", L78, """,""", M78, """")</f>
        <v>TAG,,PL2_4227_052_VLV_0151_ZSO,"BNR Grid 3-1 Flow Control Valve Opened","BOOL","","(RADIX := Decimal, Constant := false, ExternalAccess := Read/Write)"</v>
      </c>
    </row>
    <row r="79" spans="1:14" x14ac:dyDescent="0.25">
      <c r="A79" t="s">
        <v>35</v>
      </c>
      <c r="C79" t="s">
        <v>639</v>
      </c>
      <c r="D79" s="14">
        <v>4227</v>
      </c>
      <c r="E79" s="14" t="s">
        <v>1205</v>
      </c>
      <c r="F79" t="s">
        <v>1204</v>
      </c>
      <c r="G79" s="14" t="s">
        <v>1202</v>
      </c>
      <c r="I79" t="str">
        <f t="shared" si="1"/>
        <v>PL2_4227_052_VLV_0152</v>
      </c>
      <c r="J79" t="s">
        <v>1220</v>
      </c>
      <c r="K79" t="s">
        <v>1215</v>
      </c>
      <c r="M79" t="s">
        <v>72</v>
      </c>
      <c r="N79" t="str">
        <f>_xlfn.CONCAT(A79, ",", B79, ",", I79, ",""", J79, """,""", K79, """,""", L79, """,""", M79, """")</f>
        <v>TAG,,PL2_4227_052_VLV_0152,"BNR Grid 3-2 Flow Control Valve","fbValve","","(Constant := false, ExternalAccess := Read/Write)"</v>
      </c>
    </row>
    <row r="80" spans="1:14" x14ac:dyDescent="0.25">
      <c r="A80" t="s">
        <v>35</v>
      </c>
      <c r="C80" t="s">
        <v>639</v>
      </c>
      <c r="D80" s="14">
        <v>4227</v>
      </c>
      <c r="E80" s="14" t="s">
        <v>1205</v>
      </c>
      <c r="F80" t="s">
        <v>1204</v>
      </c>
      <c r="G80" s="14" t="s">
        <v>1202</v>
      </c>
      <c r="H80" t="s">
        <v>790</v>
      </c>
      <c r="I80" t="str">
        <f t="shared" si="1"/>
        <v>PL2_4227_052_VLV_0152_YAF</v>
      </c>
      <c r="J80" t="s">
        <v>1743</v>
      </c>
      <c r="K80" t="s">
        <v>632</v>
      </c>
      <c r="M80" t="s">
        <v>72</v>
      </c>
      <c r="N80" t="str">
        <f>_xlfn.CONCAT(A80, ",", B80, ",", I80, ",""", J80, """,""", K80, """,""", L80, """,""", M80, """")</f>
        <v>TAG,,PL2_4227_052_VLV_0152_YAF,"BNR Grid 3-2 Flow Control Valve Fault","fbDigital","","(Constant := false, ExternalAccess := Read/Write)"</v>
      </c>
    </row>
    <row r="81" spans="1:14" x14ac:dyDescent="0.25">
      <c r="A81" t="s">
        <v>35</v>
      </c>
      <c r="C81" t="s">
        <v>639</v>
      </c>
      <c r="D81" s="14">
        <v>4227</v>
      </c>
      <c r="E81" s="14" t="s">
        <v>1205</v>
      </c>
      <c r="F81" t="s">
        <v>1204</v>
      </c>
      <c r="G81" s="14" t="s">
        <v>1202</v>
      </c>
      <c r="H81" t="s">
        <v>645</v>
      </c>
      <c r="I81" t="str">
        <f t="shared" si="1"/>
        <v>PL2_4227_052_VLV_0152_YCI</v>
      </c>
      <c r="J81" t="s">
        <v>1357</v>
      </c>
      <c r="K81" t="s">
        <v>44</v>
      </c>
      <c r="M81" t="s">
        <v>73</v>
      </c>
      <c r="N81" t="str">
        <f>_xlfn.CONCAT(A81, ",", B81, ",", I81, ",""", J81, """,""", K81, """,""", L81, """,""", M81, """")</f>
        <v>TAG,,PL2_4227_052_VLV_0152_YCI,"BNR Grid 3-2 Flow Control Valve In Remote","BOOL","","(RADIX := Decimal, Constant := false, ExternalAccess := Read/Write)"</v>
      </c>
    </row>
    <row r="82" spans="1:14" x14ac:dyDescent="0.25">
      <c r="A82" t="s">
        <v>35</v>
      </c>
      <c r="C82" t="s">
        <v>639</v>
      </c>
      <c r="D82" s="14">
        <v>4227</v>
      </c>
      <c r="E82" s="14" t="s">
        <v>1205</v>
      </c>
      <c r="F82" t="s">
        <v>1204</v>
      </c>
      <c r="G82" s="14" t="s">
        <v>1202</v>
      </c>
      <c r="H82" t="s">
        <v>1270</v>
      </c>
      <c r="I82" t="str">
        <f t="shared" si="1"/>
        <v>PL2_4227_052_VLV_0152_ZC</v>
      </c>
      <c r="J82" t="s">
        <v>1296</v>
      </c>
      <c r="K82" t="s">
        <v>66</v>
      </c>
      <c r="M82" t="s">
        <v>74</v>
      </c>
      <c r="N82" t="str">
        <f>_xlfn.CONCAT(A82, ",", B82, ",", I82, ",""", J82, """,""", K82, """,""", L82, """,""", M82, """")</f>
        <v>TAG,,PL2_4227_052_VLV_0152_ZC,"BNR Grid 3-2 Flow Control Valve Position Command","REAL","","(RADIX := Float, Constant := false, ExternalAccess := Read/Write)"</v>
      </c>
    </row>
    <row r="83" spans="1:14" x14ac:dyDescent="0.25">
      <c r="A83" t="s">
        <v>35</v>
      </c>
      <c r="C83" t="s">
        <v>639</v>
      </c>
      <c r="D83" s="14">
        <v>4227</v>
      </c>
      <c r="E83" s="14" t="s">
        <v>1205</v>
      </c>
      <c r="F83" t="s">
        <v>1204</v>
      </c>
      <c r="G83" s="14" t="s">
        <v>1202</v>
      </c>
      <c r="H83" t="s">
        <v>1223</v>
      </c>
      <c r="I83" t="str">
        <f t="shared" si="1"/>
        <v>PL2_4227_052_VLV_0152_ZI</v>
      </c>
      <c r="J83" t="s">
        <v>1281</v>
      </c>
      <c r="K83" t="s">
        <v>66</v>
      </c>
      <c r="M83" t="s">
        <v>74</v>
      </c>
      <c r="N83" t="str">
        <f>_xlfn.CONCAT(A83, ",", B83, ",", I83, ",""", J83, """,""", K83, """,""", L83, """,""", M83, """")</f>
        <v>TAG,,PL2_4227_052_VLV_0152_ZI,"BNR Grid 3-2 Flow Control Valve Position Feedback","REAL","","(RADIX := Float, Constant := false, ExternalAccess := Read/Write)"</v>
      </c>
    </row>
    <row r="84" spans="1:14" x14ac:dyDescent="0.25">
      <c r="A84" t="s">
        <v>35</v>
      </c>
      <c r="C84" t="s">
        <v>639</v>
      </c>
      <c r="D84" s="14">
        <v>4227</v>
      </c>
      <c r="E84" s="14" t="s">
        <v>1205</v>
      </c>
      <c r="F84" t="s">
        <v>1204</v>
      </c>
      <c r="G84" s="14" t="s">
        <v>1202</v>
      </c>
      <c r="H84" t="s">
        <v>1701</v>
      </c>
      <c r="I84" t="str">
        <f t="shared" si="1"/>
        <v>PL2_4227_052_VLV_0152_ZSC</v>
      </c>
      <c r="J84" t="s">
        <v>1728</v>
      </c>
      <c r="K84" t="s">
        <v>44</v>
      </c>
      <c r="M84" t="s">
        <v>73</v>
      </c>
      <c r="N84" t="str">
        <f>_xlfn.CONCAT(A84, ",", B84, ",", I84, ",""", J84, """,""", K84, """,""", L84, """,""", M84, """")</f>
        <v>TAG,,PL2_4227_052_VLV_0152_ZSC,"BNR Grid 3-2 Flow Control Valve Closed","BOOL","","(RADIX := Decimal, Constant := false, ExternalAccess := Read/Write)"</v>
      </c>
    </row>
    <row r="85" spans="1:14" x14ac:dyDescent="0.25">
      <c r="A85" t="s">
        <v>35</v>
      </c>
      <c r="C85" t="s">
        <v>639</v>
      </c>
      <c r="D85" s="14">
        <v>4227</v>
      </c>
      <c r="E85" s="14" t="s">
        <v>1205</v>
      </c>
      <c r="F85" t="s">
        <v>1204</v>
      </c>
      <c r="G85" s="14" t="s">
        <v>1202</v>
      </c>
      <c r="H85" t="s">
        <v>1700</v>
      </c>
      <c r="I85" t="str">
        <f t="shared" si="1"/>
        <v>PL2_4227_052_VLV_0152_ZSO</v>
      </c>
      <c r="J85" t="s">
        <v>1713</v>
      </c>
      <c r="K85" t="s">
        <v>44</v>
      </c>
      <c r="M85" t="s">
        <v>73</v>
      </c>
      <c r="N85" t="str">
        <f>_xlfn.CONCAT(A85, ",", B85, ",", I85, ",""", J85, """,""", K85, """,""", L85, """,""", M85, """")</f>
        <v>TAG,,PL2_4227_052_VLV_0152_ZSO,"BNR Grid 3-2 Flow Control Valve Opened","BOOL","","(RADIX := Decimal, Constant := false, ExternalAccess := Read/Write)"</v>
      </c>
    </row>
    <row r="86" spans="1:14" x14ac:dyDescent="0.25">
      <c r="A86" t="s">
        <v>35</v>
      </c>
      <c r="C86" t="s">
        <v>639</v>
      </c>
      <c r="D86" s="14">
        <v>4227</v>
      </c>
      <c r="E86" s="14" t="s">
        <v>1205</v>
      </c>
      <c r="F86" t="s">
        <v>1204</v>
      </c>
      <c r="G86" s="14" t="s">
        <v>738</v>
      </c>
      <c r="I86" t="str">
        <f t="shared" si="1"/>
        <v>PL2_4227_052_VLV_0153</v>
      </c>
      <c r="J86" t="s">
        <v>1212</v>
      </c>
      <c r="K86" t="s">
        <v>1215</v>
      </c>
      <c r="M86" t="s">
        <v>72</v>
      </c>
      <c r="N86" t="str">
        <f>_xlfn.CONCAT(A86, ",", B86, ",", I86, ",""", J86, """,""", K86, """,""", L86, """,""", M86, """")</f>
        <v>TAG,,PL2_4227_052_VLV_0153,"BNR Grid 3-3 Flow Control Valve","fbValve","","(Constant := false, ExternalAccess := Read/Write)"</v>
      </c>
    </row>
    <row r="87" spans="1:14" x14ac:dyDescent="0.25">
      <c r="A87" t="s">
        <v>35</v>
      </c>
      <c r="C87" t="s">
        <v>639</v>
      </c>
      <c r="D87" s="14">
        <v>4227</v>
      </c>
      <c r="E87" s="14" t="s">
        <v>1205</v>
      </c>
      <c r="F87" t="s">
        <v>1204</v>
      </c>
      <c r="G87" s="14" t="s">
        <v>738</v>
      </c>
      <c r="H87" t="s">
        <v>790</v>
      </c>
      <c r="I87" t="str">
        <f t="shared" si="1"/>
        <v>PL2_4227_052_VLV_0153_YAF</v>
      </c>
      <c r="J87" t="s">
        <v>1744</v>
      </c>
      <c r="K87" t="s">
        <v>632</v>
      </c>
      <c r="M87" t="s">
        <v>72</v>
      </c>
      <c r="N87" t="str">
        <f>_xlfn.CONCAT(A87, ",", B87, ",", I87, ",""", J87, """,""", K87, """,""", L87, """,""", M87, """")</f>
        <v>TAG,,PL2_4227_052_VLV_0153_YAF,"BNR Grid 3-3 Flow Control Valve Fault","fbDigital","","(Constant := false, ExternalAccess := Read/Write)"</v>
      </c>
    </row>
    <row r="88" spans="1:14" x14ac:dyDescent="0.25">
      <c r="A88" t="s">
        <v>35</v>
      </c>
      <c r="C88" t="s">
        <v>639</v>
      </c>
      <c r="D88" s="14">
        <v>4227</v>
      </c>
      <c r="E88" s="14" t="s">
        <v>1205</v>
      </c>
      <c r="F88" t="s">
        <v>1204</v>
      </c>
      <c r="G88" s="14" t="s">
        <v>738</v>
      </c>
      <c r="H88" t="s">
        <v>645</v>
      </c>
      <c r="I88" t="str">
        <f t="shared" si="1"/>
        <v>PL2_4227_052_VLV_0153_YCI</v>
      </c>
      <c r="J88" t="s">
        <v>1358</v>
      </c>
      <c r="K88" t="s">
        <v>44</v>
      </c>
      <c r="M88" t="s">
        <v>73</v>
      </c>
      <c r="N88" t="str">
        <f>_xlfn.CONCAT(A88, ",", B88, ",", I88, ",""", J88, """,""", K88, """,""", L88, """,""", M88, """")</f>
        <v>TAG,,PL2_4227_052_VLV_0153_YCI,"BNR Grid 3-3 Flow Control Valve In Remote","BOOL","","(RADIX := Decimal, Constant := false, ExternalAccess := Read/Write)"</v>
      </c>
    </row>
    <row r="89" spans="1:14" x14ac:dyDescent="0.25">
      <c r="A89" t="s">
        <v>35</v>
      </c>
      <c r="C89" t="s">
        <v>639</v>
      </c>
      <c r="D89" s="14">
        <v>4227</v>
      </c>
      <c r="E89" s="14" t="s">
        <v>1205</v>
      </c>
      <c r="F89" t="s">
        <v>1204</v>
      </c>
      <c r="G89" s="14" t="s">
        <v>738</v>
      </c>
      <c r="H89" t="s">
        <v>1270</v>
      </c>
      <c r="I89" t="str">
        <f t="shared" si="1"/>
        <v>PL2_4227_052_VLV_0153_ZC</v>
      </c>
      <c r="J89" t="s">
        <v>1297</v>
      </c>
      <c r="K89" t="s">
        <v>66</v>
      </c>
      <c r="M89" t="s">
        <v>74</v>
      </c>
      <c r="N89" t="str">
        <f>_xlfn.CONCAT(A89, ",", B89, ",", I89, ",""", J89, """,""", K89, """,""", L89, """,""", M89, """")</f>
        <v>TAG,,PL2_4227_052_VLV_0153_ZC,"BNR Grid 3-3 Flow Control Valve Position Command","REAL","","(RADIX := Float, Constant := false, ExternalAccess := Read/Write)"</v>
      </c>
    </row>
    <row r="90" spans="1:14" x14ac:dyDescent="0.25">
      <c r="A90" t="s">
        <v>35</v>
      </c>
      <c r="C90" t="s">
        <v>639</v>
      </c>
      <c r="D90" s="14">
        <v>4227</v>
      </c>
      <c r="E90" s="14" t="s">
        <v>1205</v>
      </c>
      <c r="F90" t="s">
        <v>1204</v>
      </c>
      <c r="G90" s="14" t="s">
        <v>738</v>
      </c>
      <c r="H90" t="s">
        <v>1223</v>
      </c>
      <c r="I90" t="str">
        <f t="shared" si="1"/>
        <v>PL2_4227_052_VLV_0153_ZI</v>
      </c>
      <c r="J90" t="s">
        <v>1282</v>
      </c>
      <c r="K90" t="s">
        <v>66</v>
      </c>
      <c r="M90" t="s">
        <v>74</v>
      </c>
      <c r="N90" t="str">
        <f>_xlfn.CONCAT(A90, ",", B90, ",", I90, ",""", J90, """,""", K90, """,""", L90, """,""", M90, """")</f>
        <v>TAG,,PL2_4227_052_VLV_0153_ZI,"BNR Grid 3-3 Flow Control Valve Position Feedback","REAL","","(RADIX := Float, Constant := false, ExternalAccess := Read/Write)"</v>
      </c>
    </row>
    <row r="91" spans="1:14" x14ac:dyDescent="0.25">
      <c r="A91" t="s">
        <v>35</v>
      </c>
      <c r="C91" t="s">
        <v>639</v>
      </c>
      <c r="D91" s="14">
        <v>4227</v>
      </c>
      <c r="E91" s="14" t="s">
        <v>1205</v>
      </c>
      <c r="F91" t="s">
        <v>1204</v>
      </c>
      <c r="G91" s="14" t="s">
        <v>738</v>
      </c>
      <c r="H91" t="s">
        <v>1701</v>
      </c>
      <c r="I91" t="str">
        <f t="shared" si="1"/>
        <v>PL2_4227_052_VLV_0153_ZSC</v>
      </c>
      <c r="J91" t="s">
        <v>1729</v>
      </c>
      <c r="K91" t="s">
        <v>44</v>
      </c>
      <c r="M91" t="s">
        <v>73</v>
      </c>
      <c r="N91" t="str">
        <f>_xlfn.CONCAT(A91, ",", B91, ",", I91, ",""", J91, """,""", K91, """,""", L91, """,""", M91, """")</f>
        <v>TAG,,PL2_4227_052_VLV_0153_ZSC,"BNR Grid 3-3 Flow Control Valve Closed","BOOL","","(RADIX := Decimal, Constant := false, ExternalAccess := Read/Write)"</v>
      </c>
    </row>
    <row r="92" spans="1:14" x14ac:dyDescent="0.25">
      <c r="A92" t="s">
        <v>35</v>
      </c>
      <c r="C92" t="s">
        <v>639</v>
      </c>
      <c r="D92" s="14">
        <v>4227</v>
      </c>
      <c r="E92" s="14" t="s">
        <v>1205</v>
      </c>
      <c r="F92" t="s">
        <v>1204</v>
      </c>
      <c r="G92" s="14" t="s">
        <v>738</v>
      </c>
      <c r="H92" t="s">
        <v>1700</v>
      </c>
      <c r="I92" t="str">
        <f t="shared" si="1"/>
        <v>PL2_4227_052_VLV_0153_ZSO</v>
      </c>
      <c r="J92" t="s">
        <v>1714</v>
      </c>
      <c r="K92" t="s">
        <v>44</v>
      </c>
      <c r="M92" t="s">
        <v>73</v>
      </c>
      <c r="N92" t="str">
        <f>_xlfn.CONCAT(A92, ",", B92, ",", I92, ",""", J92, """,""", K92, """,""", L92, """,""", M92, """")</f>
        <v>TAG,,PL2_4227_052_VLV_0153_ZSO,"BNR Grid 3-3 Flow Control Valve Opened","BOOL","","(RADIX := Decimal, Constant := false, ExternalAccess := Read/Write)"</v>
      </c>
    </row>
    <row r="93" spans="1:14" x14ac:dyDescent="0.25">
      <c r="A93" t="s">
        <v>35</v>
      </c>
      <c r="C93" t="s">
        <v>639</v>
      </c>
      <c r="D93" s="14">
        <v>4227</v>
      </c>
      <c r="E93" s="14" t="s">
        <v>1205</v>
      </c>
      <c r="F93" t="s">
        <v>1204</v>
      </c>
      <c r="G93" s="14" t="s">
        <v>1203</v>
      </c>
      <c r="I93" t="str">
        <f t="shared" si="1"/>
        <v>PL2_4227_052_VLV_0154</v>
      </c>
      <c r="J93" t="s">
        <v>1221</v>
      </c>
      <c r="K93" t="s">
        <v>1215</v>
      </c>
      <c r="M93" t="s">
        <v>72</v>
      </c>
      <c r="N93" t="str">
        <f>_xlfn.CONCAT(A93, ",", B93, ",", I93, ",""", J93, """,""", K93, """,""", L93, """,""", M93, """")</f>
        <v>TAG,,PL2_4227_052_VLV_0154,"BNR Grid 3-4 Flow Control Valve","fbValve","","(Constant := false, ExternalAccess := Read/Write)"</v>
      </c>
    </row>
    <row r="94" spans="1:14" x14ac:dyDescent="0.25">
      <c r="A94" t="s">
        <v>35</v>
      </c>
      <c r="C94" t="s">
        <v>639</v>
      </c>
      <c r="D94" s="14">
        <v>4227</v>
      </c>
      <c r="E94" s="14" t="s">
        <v>1205</v>
      </c>
      <c r="F94" t="s">
        <v>1204</v>
      </c>
      <c r="G94" s="14" t="s">
        <v>1203</v>
      </c>
      <c r="H94" t="s">
        <v>790</v>
      </c>
      <c r="I94" t="str">
        <f t="shared" si="1"/>
        <v>PL2_4227_052_VLV_0154_YAF</v>
      </c>
      <c r="J94" t="s">
        <v>1745</v>
      </c>
      <c r="K94" t="s">
        <v>632</v>
      </c>
      <c r="M94" t="s">
        <v>72</v>
      </c>
      <c r="N94" t="str">
        <f>_xlfn.CONCAT(A94, ",", B94, ",", I94, ",""", J94, """,""", K94, """,""", L94, """,""", M94, """")</f>
        <v>TAG,,PL2_4227_052_VLV_0154_YAF,"BNR Grid 3-4 Flow Control Valve Fault","fbDigital","","(Constant := false, ExternalAccess := Read/Write)"</v>
      </c>
    </row>
    <row r="95" spans="1:14" x14ac:dyDescent="0.25">
      <c r="A95" t="s">
        <v>35</v>
      </c>
      <c r="C95" t="s">
        <v>639</v>
      </c>
      <c r="D95" s="14">
        <v>4227</v>
      </c>
      <c r="E95" s="14" t="s">
        <v>1205</v>
      </c>
      <c r="F95" t="s">
        <v>1204</v>
      </c>
      <c r="G95" s="14" t="s">
        <v>1203</v>
      </c>
      <c r="H95" t="s">
        <v>645</v>
      </c>
      <c r="I95" t="str">
        <f t="shared" si="1"/>
        <v>PL2_4227_052_VLV_0154_YCI</v>
      </c>
      <c r="J95" t="s">
        <v>1359</v>
      </c>
      <c r="K95" t="s">
        <v>44</v>
      </c>
      <c r="M95" t="s">
        <v>73</v>
      </c>
      <c r="N95" t="str">
        <f>_xlfn.CONCAT(A95, ",", B95, ",", I95, ",""", J95, """,""", K95, """,""", L95, """,""", M95, """")</f>
        <v>TAG,,PL2_4227_052_VLV_0154_YCI,"BNR Grid 3-4 Flow Control Valve In Remote","BOOL","","(RADIX := Decimal, Constant := false, ExternalAccess := Read/Write)"</v>
      </c>
    </row>
    <row r="96" spans="1:14" x14ac:dyDescent="0.25">
      <c r="A96" t="s">
        <v>35</v>
      </c>
      <c r="C96" t="s">
        <v>639</v>
      </c>
      <c r="D96" s="14">
        <v>4227</v>
      </c>
      <c r="E96" s="14" t="s">
        <v>1205</v>
      </c>
      <c r="F96" t="s">
        <v>1204</v>
      </c>
      <c r="G96" s="14" t="s">
        <v>1203</v>
      </c>
      <c r="H96" t="s">
        <v>1270</v>
      </c>
      <c r="I96" t="str">
        <f t="shared" si="1"/>
        <v>PL2_4227_052_VLV_0154_ZC</v>
      </c>
      <c r="J96" t="s">
        <v>1298</v>
      </c>
      <c r="K96" t="s">
        <v>66</v>
      </c>
      <c r="M96" t="s">
        <v>74</v>
      </c>
      <c r="N96" t="str">
        <f>_xlfn.CONCAT(A96, ",", B96, ",", I96, ",""", J96, """,""", K96, """,""", L96, """,""", M96, """")</f>
        <v>TAG,,PL2_4227_052_VLV_0154_ZC,"BNR Grid 3-4 Flow Control Valve Position Command","REAL","","(RADIX := Float, Constant := false, ExternalAccess := Read/Write)"</v>
      </c>
    </row>
    <row r="97" spans="1:14" x14ac:dyDescent="0.25">
      <c r="A97" t="s">
        <v>35</v>
      </c>
      <c r="C97" t="s">
        <v>639</v>
      </c>
      <c r="D97" s="14">
        <v>4227</v>
      </c>
      <c r="E97" s="14" t="s">
        <v>1205</v>
      </c>
      <c r="F97" t="s">
        <v>1204</v>
      </c>
      <c r="G97" s="14" t="s">
        <v>1203</v>
      </c>
      <c r="H97" t="s">
        <v>1223</v>
      </c>
      <c r="I97" t="str">
        <f t="shared" si="1"/>
        <v>PL2_4227_052_VLV_0154_ZI</v>
      </c>
      <c r="J97" t="s">
        <v>1283</v>
      </c>
      <c r="K97" t="s">
        <v>66</v>
      </c>
      <c r="M97" t="s">
        <v>74</v>
      </c>
      <c r="N97" t="str">
        <f>_xlfn.CONCAT(A97, ",", B97, ",", I97, ",""", J97, """,""", K97, """,""", L97, """,""", M97, """")</f>
        <v>TAG,,PL2_4227_052_VLV_0154_ZI,"BNR Grid 3-4 Flow Control Valve Position Feedback","REAL","","(RADIX := Float, Constant := false, ExternalAccess := Read/Write)"</v>
      </c>
    </row>
    <row r="98" spans="1:14" x14ac:dyDescent="0.25">
      <c r="A98" t="s">
        <v>35</v>
      </c>
      <c r="C98" t="s">
        <v>639</v>
      </c>
      <c r="D98" s="14">
        <v>4227</v>
      </c>
      <c r="E98" s="14" t="s">
        <v>1205</v>
      </c>
      <c r="F98" t="s">
        <v>1204</v>
      </c>
      <c r="G98" s="14" t="s">
        <v>1203</v>
      </c>
      <c r="H98" t="s">
        <v>1701</v>
      </c>
      <c r="I98" t="str">
        <f t="shared" si="1"/>
        <v>PL2_4227_052_VLV_0154_ZSC</v>
      </c>
      <c r="J98" t="s">
        <v>1730</v>
      </c>
      <c r="K98" t="s">
        <v>44</v>
      </c>
      <c r="M98" t="s">
        <v>73</v>
      </c>
      <c r="N98" t="str">
        <f>_xlfn.CONCAT(A98, ",", B98, ",", I98, ",""", J98, """,""", K98, """,""", L98, """,""", M98, """")</f>
        <v>TAG,,PL2_4227_052_VLV_0154_ZSC,"BNR Grid 3-4 Flow Control Valve Closed","BOOL","","(RADIX := Decimal, Constant := false, ExternalAccess := Read/Write)"</v>
      </c>
    </row>
    <row r="99" spans="1:14" x14ac:dyDescent="0.25">
      <c r="A99" t="s">
        <v>35</v>
      </c>
      <c r="C99" t="s">
        <v>639</v>
      </c>
      <c r="D99" s="14">
        <v>4227</v>
      </c>
      <c r="E99" s="14" t="s">
        <v>1205</v>
      </c>
      <c r="F99" t="s">
        <v>1204</v>
      </c>
      <c r="G99" s="14" t="s">
        <v>1203</v>
      </c>
      <c r="H99" t="s">
        <v>1700</v>
      </c>
      <c r="I99" t="str">
        <f t="shared" si="1"/>
        <v>PL2_4227_052_VLV_0154_ZSO</v>
      </c>
      <c r="J99" t="s">
        <v>1715</v>
      </c>
      <c r="K99" t="s">
        <v>44</v>
      </c>
      <c r="M99" t="s">
        <v>73</v>
      </c>
      <c r="N99" t="str">
        <f>_xlfn.CONCAT(A99, ",", B99, ",", I99, ",""", J99, """,""", K99, """,""", L99, """,""", M99, """")</f>
        <v>TAG,,PL2_4227_052_VLV_0154_ZSO,"BNR Grid 3-4 Flow Control Valve Opened","BOOL","","(RADIX := Decimal, Constant := false, ExternalAccess := Read/Write)"</v>
      </c>
    </row>
    <row r="100" spans="1:14" x14ac:dyDescent="0.25">
      <c r="A100" t="s">
        <v>35</v>
      </c>
      <c r="C100" t="s">
        <v>639</v>
      </c>
      <c r="D100" s="14">
        <v>4227</v>
      </c>
      <c r="E100" s="14" t="s">
        <v>1205</v>
      </c>
      <c r="F100" t="s">
        <v>1204</v>
      </c>
      <c r="G100" s="14" t="s">
        <v>739</v>
      </c>
      <c r="I100" t="str">
        <f t="shared" si="1"/>
        <v>PL2_4227_052_VLV_0155</v>
      </c>
      <c r="J100" t="s">
        <v>1213</v>
      </c>
      <c r="K100" t="s">
        <v>1215</v>
      </c>
      <c r="M100" t="s">
        <v>72</v>
      </c>
      <c r="N100" t="str">
        <f>_xlfn.CONCAT(A100, ",", B100, ",", I100, ",""", J100, """,""", K100, """,""", L100, """,""", M100, """")</f>
        <v>TAG,,PL2_4227_052_VLV_0155,"BNR Grid 3-5 Flow Control Valve","fbValve","","(Constant := false, ExternalAccess := Read/Write)"</v>
      </c>
    </row>
    <row r="101" spans="1:14" x14ac:dyDescent="0.25">
      <c r="A101" t="s">
        <v>35</v>
      </c>
      <c r="C101" t="s">
        <v>639</v>
      </c>
      <c r="D101" s="14">
        <v>4227</v>
      </c>
      <c r="E101" s="14" t="s">
        <v>1205</v>
      </c>
      <c r="F101" t="s">
        <v>1204</v>
      </c>
      <c r="G101" s="14" t="s">
        <v>739</v>
      </c>
      <c r="H101" t="s">
        <v>790</v>
      </c>
      <c r="I101" t="str">
        <f t="shared" si="1"/>
        <v>PL2_4227_052_VLV_0155_YAF</v>
      </c>
      <c r="J101" t="s">
        <v>1746</v>
      </c>
      <c r="K101" t="s">
        <v>632</v>
      </c>
      <c r="M101" t="s">
        <v>72</v>
      </c>
      <c r="N101" t="str">
        <f>_xlfn.CONCAT(A101, ",", B101, ",", I101, ",""", J101, """,""", K101, """,""", L101, """,""", M101, """")</f>
        <v>TAG,,PL2_4227_052_VLV_0155_YAF,"BNR Grid 3-5 Flow Control Valve Fault","fbDigital","","(Constant := false, ExternalAccess := Read/Write)"</v>
      </c>
    </row>
    <row r="102" spans="1:14" x14ac:dyDescent="0.25">
      <c r="A102" t="s">
        <v>35</v>
      </c>
      <c r="C102" t="s">
        <v>639</v>
      </c>
      <c r="D102" s="14">
        <v>4227</v>
      </c>
      <c r="E102" s="14" t="s">
        <v>1205</v>
      </c>
      <c r="F102" t="s">
        <v>1204</v>
      </c>
      <c r="G102" s="14" t="s">
        <v>739</v>
      </c>
      <c r="H102" t="s">
        <v>645</v>
      </c>
      <c r="I102" t="str">
        <f t="shared" si="1"/>
        <v>PL2_4227_052_VLV_0155_YCI</v>
      </c>
      <c r="J102" t="s">
        <v>1360</v>
      </c>
      <c r="K102" t="s">
        <v>44</v>
      </c>
      <c r="M102" t="s">
        <v>73</v>
      </c>
      <c r="N102" t="str">
        <f>_xlfn.CONCAT(A102, ",", B102, ",", I102, ",""", J102, """,""", K102, """,""", L102, """,""", M102, """")</f>
        <v>TAG,,PL2_4227_052_VLV_0155_YCI,"BNR Grid 3-5 Flow Control Valve In Remote","BOOL","","(RADIX := Decimal, Constant := false, ExternalAccess := Read/Write)"</v>
      </c>
    </row>
    <row r="103" spans="1:14" x14ac:dyDescent="0.25">
      <c r="A103" t="s">
        <v>35</v>
      </c>
      <c r="C103" t="s">
        <v>639</v>
      </c>
      <c r="D103" s="14">
        <v>4227</v>
      </c>
      <c r="E103" s="14" t="s">
        <v>1205</v>
      </c>
      <c r="F103" t="s">
        <v>1204</v>
      </c>
      <c r="G103" s="14" t="s">
        <v>739</v>
      </c>
      <c r="H103" t="s">
        <v>1270</v>
      </c>
      <c r="I103" t="str">
        <f t="shared" si="1"/>
        <v>PL2_4227_052_VLV_0155_ZC</v>
      </c>
      <c r="J103" t="s">
        <v>1299</v>
      </c>
      <c r="K103" t="s">
        <v>66</v>
      </c>
      <c r="M103" t="s">
        <v>74</v>
      </c>
      <c r="N103" t="str">
        <f>_xlfn.CONCAT(A103, ",", B103, ",", I103, ",""", J103, """,""", K103, """,""", L103, """,""", M103, """")</f>
        <v>TAG,,PL2_4227_052_VLV_0155_ZC,"BNR Grid 3-5 Flow Control Valve Position Command","REAL","","(RADIX := Float, Constant := false, ExternalAccess := Read/Write)"</v>
      </c>
    </row>
    <row r="104" spans="1:14" x14ac:dyDescent="0.25">
      <c r="A104" t="s">
        <v>35</v>
      </c>
      <c r="C104" t="s">
        <v>639</v>
      </c>
      <c r="D104" s="14">
        <v>4227</v>
      </c>
      <c r="E104" s="14" t="s">
        <v>1205</v>
      </c>
      <c r="F104" t="s">
        <v>1204</v>
      </c>
      <c r="G104" s="14" t="s">
        <v>739</v>
      </c>
      <c r="H104" t="s">
        <v>1223</v>
      </c>
      <c r="I104" t="str">
        <f t="shared" si="1"/>
        <v>PL2_4227_052_VLV_0155_ZI</v>
      </c>
      <c r="J104" t="s">
        <v>1284</v>
      </c>
      <c r="K104" t="s">
        <v>66</v>
      </c>
      <c r="M104" t="s">
        <v>74</v>
      </c>
      <c r="N104" t="str">
        <f>_xlfn.CONCAT(A104, ",", B104, ",", I104, ",""", J104, """,""", K104, """,""", L104, """,""", M104, """")</f>
        <v>TAG,,PL2_4227_052_VLV_0155_ZI,"BNR Grid 3-5 Flow Control Valve Position Feedback","REAL","","(RADIX := Float, Constant := false, ExternalAccess := Read/Write)"</v>
      </c>
    </row>
    <row r="105" spans="1:14" x14ac:dyDescent="0.25">
      <c r="A105" t="s">
        <v>35</v>
      </c>
      <c r="C105" t="s">
        <v>639</v>
      </c>
      <c r="D105" s="14">
        <v>4227</v>
      </c>
      <c r="E105" s="14" t="s">
        <v>1205</v>
      </c>
      <c r="F105" t="s">
        <v>1204</v>
      </c>
      <c r="G105" s="14" t="s">
        <v>739</v>
      </c>
      <c r="H105" t="s">
        <v>1701</v>
      </c>
      <c r="I105" t="str">
        <f t="shared" si="1"/>
        <v>PL2_4227_052_VLV_0155_ZSC</v>
      </c>
      <c r="J105" t="s">
        <v>1731</v>
      </c>
      <c r="K105" t="s">
        <v>44</v>
      </c>
      <c r="M105" t="s">
        <v>73</v>
      </c>
      <c r="N105" t="str">
        <f>_xlfn.CONCAT(A105, ",", B105, ",", I105, ",""", J105, """,""", K105, """,""", L105, """,""", M105, """")</f>
        <v>TAG,,PL2_4227_052_VLV_0155_ZSC,"BNR Grid 3-5 Flow Control Valve Closed","BOOL","","(RADIX := Decimal, Constant := false, ExternalAccess := Read/Write)"</v>
      </c>
    </row>
    <row r="106" spans="1:14" x14ac:dyDescent="0.25">
      <c r="A106" t="s">
        <v>35</v>
      </c>
      <c r="C106" t="s">
        <v>639</v>
      </c>
      <c r="D106" s="14">
        <v>4227</v>
      </c>
      <c r="E106" s="14" t="s">
        <v>1205</v>
      </c>
      <c r="F106" t="s">
        <v>1204</v>
      </c>
      <c r="G106" s="14" t="s">
        <v>739</v>
      </c>
      <c r="H106" t="s">
        <v>1700</v>
      </c>
      <c r="I106" t="str">
        <f t="shared" si="1"/>
        <v>PL2_4227_052_VLV_0155_ZSO</v>
      </c>
      <c r="J106" t="s">
        <v>1716</v>
      </c>
      <c r="K106" t="s">
        <v>44</v>
      </c>
      <c r="M106" t="s">
        <v>73</v>
      </c>
      <c r="N106" t="str">
        <f>_xlfn.CONCAT(A106, ",", B106, ",", I106, ",""", J106, """,""", K106, """,""", L106, """,""", M106, """")</f>
        <v>TAG,,PL2_4227_052_VLV_0155_ZSO,"BNR Grid 3-5 Flow Control Valve Opened","BOOL","","(RADIX := Decimal, Constant := false, ExternalAccess := Read/Write)"</v>
      </c>
    </row>
    <row r="107" spans="1:14" x14ac:dyDescent="0.25">
      <c r="A107" t="s">
        <v>35</v>
      </c>
      <c r="C107" t="s">
        <v>639</v>
      </c>
      <c r="D107" s="14" t="s">
        <v>748</v>
      </c>
      <c r="E107" s="14" t="s">
        <v>749</v>
      </c>
      <c r="F107" t="s">
        <v>750</v>
      </c>
      <c r="G107" s="14" t="s">
        <v>751</v>
      </c>
      <c r="I107" t="str">
        <f t="shared" si="1"/>
        <v>PL2_4227_063_HTP_0100</v>
      </c>
      <c r="J107" t="s">
        <v>752</v>
      </c>
      <c r="K107" t="s">
        <v>632</v>
      </c>
      <c r="M107" t="s">
        <v>72</v>
      </c>
      <c r="N107" t="str">
        <f>_xlfn.CONCAT(A107, ",", B107, ",", I107, ",""", J107, """,""", K107, """,""", L107, """,""", M107, """")</f>
        <v>TAG,,PL2_4227_063_HTP_0100,"BNR Heat Trace Fail","fbDigital","","(Constant := false, ExternalAccess := Read/Write)"</v>
      </c>
    </row>
    <row r="108" spans="1:14" x14ac:dyDescent="0.25">
      <c r="A108" t="s">
        <v>35</v>
      </c>
      <c r="C108" t="s">
        <v>639</v>
      </c>
      <c r="D108" s="14">
        <v>4227</v>
      </c>
      <c r="E108" s="14">
        <v>235</v>
      </c>
      <c r="F108" t="s">
        <v>642</v>
      </c>
      <c r="G108" s="14" t="s">
        <v>644</v>
      </c>
      <c r="I108" t="str">
        <f t="shared" si="1"/>
        <v>PL2_4227_235_PMP_0111</v>
      </c>
      <c r="J108" t="s">
        <v>624</v>
      </c>
      <c r="K108" t="s">
        <v>710</v>
      </c>
      <c r="M108" t="s">
        <v>72</v>
      </c>
      <c r="N108" t="str">
        <f>_xlfn.CONCAT(A108, ",", B108, ",", I108, ",""", J108, """,""", K108, """,""", L108, """,""", M108, """")</f>
        <v>TAG,,PL2_4227_235_PMP_0111,"Nitrate Recycle Pump No. 1","fbMotor","","(Constant := false, ExternalAccess := Read/Write)"</v>
      </c>
    </row>
    <row r="109" spans="1:14" x14ac:dyDescent="0.25">
      <c r="A109" t="s">
        <v>35</v>
      </c>
      <c r="C109" t="s">
        <v>639</v>
      </c>
      <c r="D109" s="14">
        <v>4227</v>
      </c>
      <c r="E109" s="14">
        <v>235</v>
      </c>
      <c r="F109" t="s">
        <v>642</v>
      </c>
      <c r="G109" s="14" t="s">
        <v>644</v>
      </c>
      <c r="H109" t="s">
        <v>648</v>
      </c>
      <c r="I109" t="str">
        <f t="shared" si="1"/>
        <v>PL2_4227_235_PMP_0111_HSS</v>
      </c>
      <c r="J109" t="s">
        <v>662</v>
      </c>
      <c r="K109" t="s">
        <v>44</v>
      </c>
      <c r="M109" t="s">
        <v>73</v>
      </c>
      <c r="N109" t="str">
        <f>_xlfn.CONCAT(A109, ",", B109, ",", I109, ",""", J109, """,""", K109, """,""", L109, """,""", M109, """")</f>
        <v>TAG,,PL2_4227_235_PMP_0111_HSS,"Nitrate Recycle Pump No. 1 Start / Stop Command","BOOL","","(RADIX := Decimal, Constant := false, ExternalAccess := Read/Write)"</v>
      </c>
    </row>
    <row r="110" spans="1:14" x14ac:dyDescent="0.25">
      <c r="A110" t="s">
        <v>35</v>
      </c>
      <c r="C110" t="s">
        <v>639</v>
      </c>
      <c r="D110" s="14">
        <v>4227</v>
      </c>
      <c r="E110" s="14">
        <v>235</v>
      </c>
      <c r="F110" t="s">
        <v>642</v>
      </c>
      <c r="G110" s="14" t="s">
        <v>644</v>
      </c>
      <c r="H110" t="s">
        <v>647</v>
      </c>
      <c r="I110" t="str">
        <f t="shared" si="1"/>
        <v>PL2_4227_235_PMP_0111_MAH</v>
      </c>
      <c r="J110" t="s">
        <v>660</v>
      </c>
      <c r="K110" t="s">
        <v>632</v>
      </c>
      <c r="M110" t="s">
        <v>72</v>
      </c>
      <c r="N110" t="str">
        <f>_xlfn.CONCAT(A110, ",", B110, ",", I110, ",""", J110, """,""", K110, """,""", L110, """,""", M110, """")</f>
        <v>TAG,,PL2_4227_235_PMP_0111_MAH,"Nitrate Recycle Pump No. 1 Leak Alarm","fbDigital","","(Constant := false, ExternalAccess := Read/Write)"</v>
      </c>
    </row>
    <row r="111" spans="1:14" x14ac:dyDescent="0.25">
      <c r="A111" t="s">
        <v>35</v>
      </c>
      <c r="C111" t="s">
        <v>639</v>
      </c>
      <c r="D111" s="14">
        <v>4227</v>
      </c>
      <c r="E111" s="14">
        <v>235</v>
      </c>
      <c r="F111" t="s">
        <v>642</v>
      </c>
      <c r="G111" s="14" t="s">
        <v>644</v>
      </c>
      <c r="H111" t="s">
        <v>650</v>
      </c>
      <c r="I111" t="str">
        <f t="shared" si="1"/>
        <v>PL2_4227_235_PMP_0111_SC</v>
      </c>
      <c r="J111" t="s">
        <v>664</v>
      </c>
      <c r="K111" t="s">
        <v>66</v>
      </c>
      <c r="M111" t="s">
        <v>74</v>
      </c>
      <c r="N111" t="str">
        <f>_xlfn.CONCAT(A111, ",", B111, ",", I111, ",""", J111, """,""", K111, """,""", L111, """,""", M111, """")</f>
        <v>TAG,,PL2_4227_235_PMP_0111_SC,"Nitrate Recycle Pump No. 1 Speed Setpoint","REAL","","(RADIX := Float, Constant := false, ExternalAccess := Read/Write)"</v>
      </c>
    </row>
    <row r="112" spans="1:14" x14ac:dyDescent="0.25">
      <c r="A112" t="s">
        <v>35</v>
      </c>
      <c r="C112" t="s">
        <v>639</v>
      </c>
      <c r="D112" s="14">
        <v>4227</v>
      </c>
      <c r="E112" s="14">
        <v>235</v>
      </c>
      <c r="F112" t="s">
        <v>642</v>
      </c>
      <c r="G112" s="14" t="s">
        <v>644</v>
      </c>
      <c r="H112" t="s">
        <v>649</v>
      </c>
      <c r="I112" t="str">
        <f t="shared" si="1"/>
        <v>PL2_4227_235_PMP_0111_SI</v>
      </c>
      <c r="J112" t="s">
        <v>663</v>
      </c>
      <c r="K112" t="s">
        <v>66</v>
      </c>
      <c r="M112" t="s">
        <v>74</v>
      </c>
      <c r="N112" t="str">
        <f>_xlfn.CONCAT(A112, ",", B112, ",", I112, ",""", J112, """,""", K112, """,""", L112, """,""", M112, """")</f>
        <v>TAG,,PL2_4227_235_PMP_0111_SI,"Nitrate Recycle Pump No. 1 Speed Feedback","REAL","","(RADIX := Float, Constant := false, ExternalAccess := Read/Write)"</v>
      </c>
    </row>
    <row r="113" spans="1:14" x14ac:dyDescent="0.25">
      <c r="A113" t="s">
        <v>35</v>
      </c>
      <c r="C113" t="s">
        <v>639</v>
      </c>
      <c r="D113" s="14">
        <v>4227</v>
      </c>
      <c r="E113" s="14">
        <v>235</v>
      </c>
      <c r="F113" t="s">
        <v>642</v>
      </c>
      <c r="G113" s="14" t="s">
        <v>644</v>
      </c>
      <c r="H113" t="s">
        <v>643</v>
      </c>
      <c r="I113" t="str">
        <f t="shared" si="1"/>
        <v>PL2_4227_235_PMP_0111_TAH</v>
      </c>
      <c r="J113" t="s">
        <v>659</v>
      </c>
      <c r="K113" t="s">
        <v>632</v>
      </c>
      <c r="M113" t="s">
        <v>72</v>
      </c>
      <c r="N113" t="str">
        <f>_xlfn.CONCAT(A113, ",", B113, ",", I113, ",""", J113, """,""", K113, """,""", L113, """,""", M113, """")</f>
        <v>TAG,,PL2_4227_235_PMP_0111_TAH,"Nitrate Recycle Pump No. 1 Temperature High","fbDigital","","(Constant := false, ExternalAccess := Read/Write)"</v>
      </c>
    </row>
    <row r="114" spans="1:14" x14ac:dyDescent="0.25">
      <c r="A114" t="s">
        <v>35</v>
      </c>
      <c r="C114" t="s">
        <v>639</v>
      </c>
      <c r="D114" s="14">
        <v>4227</v>
      </c>
      <c r="E114" s="14">
        <v>235</v>
      </c>
      <c r="F114" t="s">
        <v>642</v>
      </c>
      <c r="G114" s="14" t="s">
        <v>644</v>
      </c>
      <c r="H114" t="s">
        <v>792</v>
      </c>
      <c r="I114" t="str">
        <f t="shared" si="1"/>
        <v>PL2_4227_235_PMP_0111_YAE</v>
      </c>
      <c r="J114" t="s">
        <v>661</v>
      </c>
      <c r="K114" t="s">
        <v>632</v>
      </c>
      <c r="M114" t="s">
        <v>72</v>
      </c>
      <c r="N114" t="str">
        <f>_xlfn.CONCAT(A114, ",", B114, ",", I114, ",""", J114, """,""", K114, """,""", L114, """,""", M114, """")</f>
        <v>TAG,,PL2_4227_235_PMP_0111_YAE,"Nitrate Recycle Pump No. 1 E-Stop","fbDigital","","(Constant := false, ExternalAccess := Read/Write)"</v>
      </c>
    </row>
    <row r="115" spans="1:14" x14ac:dyDescent="0.25">
      <c r="A115" t="s">
        <v>35</v>
      </c>
      <c r="C115" t="s">
        <v>639</v>
      </c>
      <c r="D115" s="14">
        <v>4227</v>
      </c>
      <c r="E115" s="14">
        <v>235</v>
      </c>
      <c r="F115" t="s">
        <v>642</v>
      </c>
      <c r="G115" s="14" t="s">
        <v>644</v>
      </c>
      <c r="H115" t="s">
        <v>790</v>
      </c>
      <c r="I115" t="str">
        <f t="shared" si="1"/>
        <v>PL2_4227_235_PMP_0111_YAF</v>
      </c>
      <c r="J115" t="s">
        <v>658</v>
      </c>
      <c r="K115" t="s">
        <v>632</v>
      </c>
      <c r="M115" t="s">
        <v>72</v>
      </c>
      <c r="N115" t="str">
        <f>_xlfn.CONCAT(A115, ",", B115, ",", I115, ",""", J115, """,""", K115, """,""", L115, """,""", M115, """")</f>
        <v>TAG,,PL2_4227_235_PMP_0111_YAF,"Nitrate Recycle Pump No. 1 Fault","fbDigital","","(Constant := false, ExternalAccess := Read/Write)"</v>
      </c>
    </row>
    <row r="116" spans="1:14" x14ac:dyDescent="0.25">
      <c r="A116" t="s">
        <v>35</v>
      </c>
      <c r="C116" t="s">
        <v>639</v>
      </c>
      <c r="D116" s="14">
        <v>4227</v>
      </c>
      <c r="E116" s="14">
        <v>235</v>
      </c>
      <c r="F116" t="s">
        <v>642</v>
      </c>
      <c r="G116" s="14" t="s">
        <v>644</v>
      </c>
      <c r="H116" t="s">
        <v>645</v>
      </c>
      <c r="I116" t="str">
        <f t="shared" si="1"/>
        <v>PL2_4227_235_PMP_0111_YCI</v>
      </c>
      <c r="J116" t="s">
        <v>656</v>
      </c>
      <c r="K116" t="s">
        <v>44</v>
      </c>
      <c r="M116" t="s">
        <v>73</v>
      </c>
      <c r="N116" t="str">
        <f>_xlfn.CONCAT(A116, ",", B116, ",", I116, ",""", J116, """,""", K116, """,""", L116, """,""", M116, """")</f>
        <v>TAG,,PL2_4227_235_PMP_0111_YCI,"Nitrate Recycle Pump No. 1 In Remote","BOOL","","(RADIX := Decimal, Constant := false, ExternalAccess := Read/Write)"</v>
      </c>
    </row>
    <row r="117" spans="1:14" x14ac:dyDescent="0.25">
      <c r="A117" t="s">
        <v>35</v>
      </c>
      <c r="C117" t="s">
        <v>639</v>
      </c>
      <c r="D117" s="14">
        <v>4227</v>
      </c>
      <c r="E117" s="14">
        <v>235</v>
      </c>
      <c r="F117" t="s">
        <v>642</v>
      </c>
      <c r="G117" s="14" t="s">
        <v>644</v>
      </c>
      <c r="H117" t="s">
        <v>791</v>
      </c>
      <c r="I117" t="str">
        <f t="shared" si="1"/>
        <v>PL2_4227_235_PMP_0111_YRI</v>
      </c>
      <c r="J117" t="s">
        <v>657</v>
      </c>
      <c r="K117" t="s">
        <v>44</v>
      </c>
      <c r="M117" t="s">
        <v>73</v>
      </c>
      <c r="N117" t="str">
        <f>_xlfn.CONCAT(A117, ",", B117, ",", I117, ",""", J117, """,""", K117, """,""", L117, """,""", M117, """")</f>
        <v>TAG,,PL2_4227_235_PMP_0111_YRI,"Nitrate Recycle Pump No. 1 Running","BOOL","","(RADIX := Decimal, Constant := false, ExternalAccess := Read/Write)"</v>
      </c>
    </row>
    <row r="118" spans="1:14" x14ac:dyDescent="0.25">
      <c r="A118" t="s">
        <v>35</v>
      </c>
      <c r="C118" t="s">
        <v>639</v>
      </c>
      <c r="D118" s="14">
        <v>4227</v>
      </c>
      <c r="E118" s="14">
        <v>235</v>
      </c>
      <c r="F118" t="s">
        <v>642</v>
      </c>
      <c r="G118" s="14" t="s">
        <v>651</v>
      </c>
      <c r="I118" t="str">
        <f t="shared" si="1"/>
        <v>PL2_4227_235_PMP_0112</v>
      </c>
      <c r="J118" t="s">
        <v>627</v>
      </c>
      <c r="K118" t="s">
        <v>710</v>
      </c>
      <c r="M118" t="s">
        <v>72</v>
      </c>
      <c r="N118" t="str">
        <f>_xlfn.CONCAT(A118, ",", B118, ",", I118, ",""", J118, """,""", K118, """,""", L118, """,""", M118, """")</f>
        <v>TAG,,PL2_4227_235_PMP_0112,"Nitrate Recycle Pump No. 2","fbMotor","","(Constant := false, ExternalAccess := Read/Write)"</v>
      </c>
    </row>
    <row r="119" spans="1:14" x14ac:dyDescent="0.25">
      <c r="A119" t="s">
        <v>35</v>
      </c>
      <c r="C119" t="s">
        <v>639</v>
      </c>
      <c r="D119" s="14">
        <v>4227</v>
      </c>
      <c r="E119" s="14">
        <v>235</v>
      </c>
      <c r="F119" t="s">
        <v>642</v>
      </c>
      <c r="G119" s="14" t="s">
        <v>651</v>
      </c>
      <c r="H119" t="s">
        <v>648</v>
      </c>
      <c r="I119" t="str">
        <f t="shared" si="1"/>
        <v>PL2_4227_235_PMP_0112_HSS</v>
      </c>
      <c r="J119" t="s">
        <v>671</v>
      </c>
      <c r="K119" t="s">
        <v>44</v>
      </c>
      <c r="M119" t="s">
        <v>73</v>
      </c>
      <c r="N119" t="str">
        <f>_xlfn.CONCAT(A119, ",", B119, ",", I119, ",""", J119, """,""", K119, """,""", L119, """,""", M119, """")</f>
        <v>TAG,,PL2_4227_235_PMP_0112_HSS,"Nitrate Recycle Pump No. 2 Start / Stop Command","BOOL","","(RADIX := Decimal, Constant := false, ExternalAccess := Read/Write)"</v>
      </c>
    </row>
    <row r="120" spans="1:14" x14ac:dyDescent="0.25">
      <c r="A120" t="s">
        <v>35</v>
      </c>
      <c r="C120" t="s">
        <v>639</v>
      </c>
      <c r="D120" s="14">
        <v>4227</v>
      </c>
      <c r="E120" s="14">
        <v>235</v>
      </c>
      <c r="F120" t="s">
        <v>642</v>
      </c>
      <c r="G120" s="14" t="s">
        <v>651</v>
      </c>
      <c r="H120" t="s">
        <v>647</v>
      </c>
      <c r="I120" t="str">
        <f t="shared" si="1"/>
        <v>PL2_4227_235_PMP_0112_MAH</v>
      </c>
      <c r="J120" t="s">
        <v>669</v>
      </c>
      <c r="K120" t="s">
        <v>632</v>
      </c>
      <c r="M120" t="s">
        <v>72</v>
      </c>
      <c r="N120" t="str">
        <f>_xlfn.CONCAT(A120, ",", B120, ",", I120, ",""", J120, """,""", K120, """,""", L120, """,""", M120, """")</f>
        <v>TAG,,PL2_4227_235_PMP_0112_MAH,"Nitrate Recycle Pump No. 2 Leak Alarm","fbDigital","","(Constant := false, ExternalAccess := Read/Write)"</v>
      </c>
    </row>
    <row r="121" spans="1:14" x14ac:dyDescent="0.25">
      <c r="A121" t="s">
        <v>35</v>
      </c>
      <c r="C121" t="s">
        <v>639</v>
      </c>
      <c r="D121" s="14">
        <v>4227</v>
      </c>
      <c r="E121" s="14">
        <v>235</v>
      </c>
      <c r="F121" t="s">
        <v>642</v>
      </c>
      <c r="G121" s="14" t="s">
        <v>651</v>
      </c>
      <c r="H121" t="s">
        <v>650</v>
      </c>
      <c r="I121" t="str">
        <f t="shared" si="1"/>
        <v>PL2_4227_235_PMP_0112_SC</v>
      </c>
      <c r="J121" t="s">
        <v>673</v>
      </c>
      <c r="K121" t="s">
        <v>66</v>
      </c>
      <c r="M121" t="s">
        <v>74</v>
      </c>
      <c r="N121" t="str">
        <f>_xlfn.CONCAT(A121, ",", B121, ",", I121, ",""", J121, """,""", K121, """,""", L121, """,""", M121, """")</f>
        <v>TAG,,PL2_4227_235_PMP_0112_SC,"Nitrate Recycle Pump No. 2 Speed Setpoint","REAL","","(RADIX := Float, Constant := false, ExternalAccess := Read/Write)"</v>
      </c>
    </row>
    <row r="122" spans="1:14" x14ac:dyDescent="0.25">
      <c r="A122" t="s">
        <v>35</v>
      </c>
      <c r="C122" t="s">
        <v>639</v>
      </c>
      <c r="D122" s="14">
        <v>4227</v>
      </c>
      <c r="E122" s="14">
        <v>235</v>
      </c>
      <c r="F122" t="s">
        <v>642</v>
      </c>
      <c r="G122" s="14" t="s">
        <v>651</v>
      </c>
      <c r="H122" t="s">
        <v>649</v>
      </c>
      <c r="I122" t="str">
        <f t="shared" si="1"/>
        <v>PL2_4227_235_PMP_0112_SI</v>
      </c>
      <c r="J122" t="s">
        <v>672</v>
      </c>
      <c r="K122" t="s">
        <v>66</v>
      </c>
      <c r="M122" t="s">
        <v>74</v>
      </c>
      <c r="N122" t="str">
        <f>_xlfn.CONCAT(A122, ",", B122, ",", I122, ",""", J122, """,""", K122, """,""", L122, """,""", M122, """")</f>
        <v>TAG,,PL2_4227_235_PMP_0112_SI,"Nitrate Recycle Pump No. 2 Speed Feedback","REAL","","(RADIX := Float, Constant := false, ExternalAccess := Read/Write)"</v>
      </c>
    </row>
    <row r="123" spans="1:14" x14ac:dyDescent="0.25">
      <c r="A123" t="s">
        <v>35</v>
      </c>
      <c r="C123" t="s">
        <v>639</v>
      </c>
      <c r="D123" s="14">
        <v>4227</v>
      </c>
      <c r="E123" s="14">
        <v>235</v>
      </c>
      <c r="F123" t="s">
        <v>642</v>
      </c>
      <c r="G123" s="14" t="s">
        <v>651</v>
      </c>
      <c r="H123" t="s">
        <v>643</v>
      </c>
      <c r="I123" t="str">
        <f t="shared" si="1"/>
        <v>PL2_4227_235_PMP_0112_TAH</v>
      </c>
      <c r="J123" t="s">
        <v>668</v>
      </c>
      <c r="K123" t="s">
        <v>632</v>
      </c>
      <c r="M123" t="s">
        <v>72</v>
      </c>
      <c r="N123" t="str">
        <f>_xlfn.CONCAT(A123, ",", B123, ",", I123, ",""", J123, """,""", K123, """,""", L123, """,""", M123, """")</f>
        <v>TAG,,PL2_4227_235_PMP_0112_TAH,"Nitrate Recycle Pump No. 2 Temperature High","fbDigital","","(Constant := false, ExternalAccess := Read/Write)"</v>
      </c>
    </row>
    <row r="124" spans="1:14" x14ac:dyDescent="0.25">
      <c r="A124" t="s">
        <v>35</v>
      </c>
      <c r="C124" t="s">
        <v>639</v>
      </c>
      <c r="D124" s="14">
        <v>4227</v>
      </c>
      <c r="E124" s="14">
        <v>235</v>
      </c>
      <c r="F124" t="s">
        <v>642</v>
      </c>
      <c r="G124" s="14" t="s">
        <v>651</v>
      </c>
      <c r="H124" t="s">
        <v>792</v>
      </c>
      <c r="I124" t="str">
        <f t="shared" si="1"/>
        <v>PL2_4227_235_PMP_0112_YAE</v>
      </c>
      <c r="J124" t="s">
        <v>670</v>
      </c>
      <c r="K124" t="s">
        <v>632</v>
      </c>
      <c r="M124" t="s">
        <v>72</v>
      </c>
      <c r="N124" t="str">
        <f>_xlfn.CONCAT(A124, ",", B124, ",", I124, ",""", J124, """,""", K124, """,""", L124, """,""", M124, """")</f>
        <v>TAG,,PL2_4227_235_PMP_0112_YAE,"Nitrate Recycle Pump No. 2 E-Stop","fbDigital","","(Constant := false, ExternalAccess := Read/Write)"</v>
      </c>
    </row>
    <row r="125" spans="1:14" x14ac:dyDescent="0.25">
      <c r="A125" t="s">
        <v>35</v>
      </c>
      <c r="C125" t="s">
        <v>639</v>
      </c>
      <c r="D125" s="14">
        <v>4227</v>
      </c>
      <c r="E125" s="14">
        <v>235</v>
      </c>
      <c r="F125" t="s">
        <v>642</v>
      </c>
      <c r="G125" s="14" t="s">
        <v>651</v>
      </c>
      <c r="H125" t="s">
        <v>790</v>
      </c>
      <c r="I125" t="str">
        <f t="shared" si="1"/>
        <v>PL2_4227_235_PMP_0112_YAF</v>
      </c>
      <c r="J125" t="s">
        <v>667</v>
      </c>
      <c r="K125" t="s">
        <v>632</v>
      </c>
      <c r="M125" t="s">
        <v>72</v>
      </c>
      <c r="N125" t="str">
        <f>_xlfn.CONCAT(A125, ",", B125, ",", I125, ",""", J125, """,""", K125, """,""", L125, """,""", M125, """")</f>
        <v>TAG,,PL2_4227_235_PMP_0112_YAF,"Nitrate Recycle Pump No. 2 Fault","fbDigital","","(Constant := false, ExternalAccess := Read/Write)"</v>
      </c>
    </row>
    <row r="126" spans="1:14" x14ac:dyDescent="0.25">
      <c r="A126" t="s">
        <v>35</v>
      </c>
      <c r="C126" t="s">
        <v>639</v>
      </c>
      <c r="D126" s="14">
        <v>4227</v>
      </c>
      <c r="E126" s="14">
        <v>235</v>
      </c>
      <c r="F126" t="s">
        <v>642</v>
      </c>
      <c r="G126" s="14" t="s">
        <v>651</v>
      </c>
      <c r="H126" t="s">
        <v>645</v>
      </c>
      <c r="I126" t="str">
        <f t="shared" si="1"/>
        <v>PL2_4227_235_PMP_0112_YCI</v>
      </c>
      <c r="J126" t="s">
        <v>665</v>
      </c>
      <c r="K126" t="s">
        <v>44</v>
      </c>
      <c r="M126" t="s">
        <v>73</v>
      </c>
      <c r="N126" t="str">
        <f>_xlfn.CONCAT(A126, ",", B126, ",", I126, ",""", J126, """,""", K126, """,""", L126, """,""", M126, """")</f>
        <v>TAG,,PL2_4227_235_PMP_0112_YCI,"Nitrate Recycle Pump No. 2 In Remote","BOOL","","(RADIX := Decimal, Constant := false, ExternalAccess := Read/Write)"</v>
      </c>
    </row>
    <row r="127" spans="1:14" x14ac:dyDescent="0.25">
      <c r="A127" t="s">
        <v>35</v>
      </c>
      <c r="C127" t="s">
        <v>639</v>
      </c>
      <c r="D127" s="14">
        <v>4227</v>
      </c>
      <c r="E127" s="14">
        <v>235</v>
      </c>
      <c r="F127" t="s">
        <v>642</v>
      </c>
      <c r="G127" s="14" t="s">
        <v>651</v>
      </c>
      <c r="H127" t="s">
        <v>791</v>
      </c>
      <c r="I127" t="str">
        <f t="shared" si="1"/>
        <v>PL2_4227_235_PMP_0112_YRI</v>
      </c>
      <c r="J127" t="s">
        <v>666</v>
      </c>
      <c r="K127" t="s">
        <v>44</v>
      </c>
      <c r="M127" t="s">
        <v>73</v>
      </c>
      <c r="N127" t="str">
        <f>_xlfn.CONCAT(A127, ",", B127, ",", I127, ",""", J127, """,""", K127, """,""", L127, """,""", M127, """")</f>
        <v>TAG,,PL2_4227_235_PMP_0112_YRI,"Nitrate Recycle Pump No. 2 Running","BOOL","","(RADIX := Decimal, Constant := false, ExternalAccess := Read/Write)"</v>
      </c>
    </row>
    <row r="128" spans="1:14" x14ac:dyDescent="0.25">
      <c r="A128" t="s">
        <v>35</v>
      </c>
      <c r="C128" t="s">
        <v>639</v>
      </c>
      <c r="D128" s="14">
        <v>4227</v>
      </c>
      <c r="E128" s="14">
        <v>235</v>
      </c>
      <c r="F128" t="s">
        <v>642</v>
      </c>
      <c r="G128" s="14" t="s">
        <v>652</v>
      </c>
      <c r="I128" t="str">
        <f t="shared" si="1"/>
        <v>PL2_4227_235_PMP_0211</v>
      </c>
      <c r="J128" t="s">
        <v>625</v>
      </c>
      <c r="K128" t="s">
        <v>710</v>
      </c>
      <c r="M128" t="s">
        <v>72</v>
      </c>
      <c r="N128" t="str">
        <f>_xlfn.CONCAT(A128, ",", B128, ",", I128, ",""", J128, """,""", K128, """,""", L128, """,""", M128, """")</f>
        <v>TAG,,PL2_4227_235_PMP_0211,"Nitrate Recycle Pump No. 3","fbMotor","","(Constant := false, ExternalAccess := Read/Write)"</v>
      </c>
    </row>
    <row r="129" spans="1:14" x14ac:dyDescent="0.25">
      <c r="A129" t="s">
        <v>35</v>
      </c>
      <c r="C129" t="s">
        <v>639</v>
      </c>
      <c r="D129" s="14">
        <v>4227</v>
      </c>
      <c r="E129" s="14">
        <v>235</v>
      </c>
      <c r="F129" t="s">
        <v>642</v>
      </c>
      <c r="G129" s="14" t="s">
        <v>652</v>
      </c>
      <c r="H129" t="s">
        <v>648</v>
      </c>
      <c r="I129" t="str">
        <f t="shared" si="1"/>
        <v>PL2_4227_235_PMP_0211_HSS</v>
      </c>
      <c r="J129" t="s">
        <v>680</v>
      </c>
      <c r="K129" t="s">
        <v>44</v>
      </c>
      <c r="M129" t="s">
        <v>73</v>
      </c>
      <c r="N129" t="str">
        <f>_xlfn.CONCAT(A129, ",", B129, ",", I129, ",""", J129, """,""", K129, """,""", L129, """,""", M129, """")</f>
        <v>TAG,,PL2_4227_235_PMP_0211_HSS,"Nitrate Recycle Pump No. 3 Start / Stop Command","BOOL","","(RADIX := Decimal, Constant := false, ExternalAccess := Read/Write)"</v>
      </c>
    </row>
    <row r="130" spans="1:14" x14ac:dyDescent="0.25">
      <c r="A130" t="s">
        <v>35</v>
      </c>
      <c r="C130" t="s">
        <v>639</v>
      </c>
      <c r="D130" s="14">
        <v>4227</v>
      </c>
      <c r="E130" s="14">
        <v>235</v>
      </c>
      <c r="F130" t="s">
        <v>642</v>
      </c>
      <c r="G130" s="14" t="s">
        <v>652</v>
      </c>
      <c r="H130" t="s">
        <v>647</v>
      </c>
      <c r="I130" t="str">
        <f t="shared" si="1"/>
        <v>PL2_4227_235_PMP_0211_MAH</v>
      </c>
      <c r="J130" t="s">
        <v>678</v>
      </c>
      <c r="K130" t="s">
        <v>632</v>
      </c>
      <c r="M130" t="s">
        <v>72</v>
      </c>
      <c r="N130" t="str">
        <f>_xlfn.CONCAT(A130, ",", B130, ",", I130, ",""", J130, """,""", K130, """,""", L130, """,""", M130, """")</f>
        <v>TAG,,PL2_4227_235_PMP_0211_MAH,"Nitrate Recycle Pump No. 3 Leak Alarm","fbDigital","","(Constant := false, ExternalAccess := Read/Write)"</v>
      </c>
    </row>
    <row r="131" spans="1:14" x14ac:dyDescent="0.25">
      <c r="A131" t="s">
        <v>35</v>
      </c>
      <c r="C131" t="s">
        <v>639</v>
      </c>
      <c r="D131" s="14">
        <v>4227</v>
      </c>
      <c r="E131" s="14">
        <v>235</v>
      </c>
      <c r="F131" t="s">
        <v>642</v>
      </c>
      <c r="G131" s="14" t="s">
        <v>652</v>
      </c>
      <c r="H131" t="s">
        <v>650</v>
      </c>
      <c r="I131" t="str">
        <f t="shared" ref="I131:I194" si="2">_xlfn.CONCAT(C131,"_",D131,"_",_xlfn.CONCAT(E131, "_"),F131,"_",G131, IF(ISBLANK(H131), "", _xlfn.CONCAT("_",H131)))</f>
        <v>PL2_4227_235_PMP_0211_SC</v>
      </c>
      <c r="J131" t="s">
        <v>682</v>
      </c>
      <c r="K131" t="s">
        <v>66</v>
      </c>
      <c r="M131" t="s">
        <v>74</v>
      </c>
      <c r="N131" t="str">
        <f>_xlfn.CONCAT(A131, ",", B131, ",", I131, ",""", J131, """,""", K131, """,""", L131, """,""", M131, """")</f>
        <v>TAG,,PL2_4227_235_PMP_0211_SC,"Nitrate Recycle Pump No. 3 Speed Setpoint","REAL","","(RADIX := Float, Constant := false, ExternalAccess := Read/Write)"</v>
      </c>
    </row>
    <row r="132" spans="1:14" x14ac:dyDescent="0.25">
      <c r="A132" t="s">
        <v>35</v>
      </c>
      <c r="C132" t="s">
        <v>639</v>
      </c>
      <c r="D132" s="14">
        <v>4227</v>
      </c>
      <c r="E132" s="14">
        <v>235</v>
      </c>
      <c r="F132" t="s">
        <v>642</v>
      </c>
      <c r="G132" s="14" t="s">
        <v>652</v>
      </c>
      <c r="H132" t="s">
        <v>649</v>
      </c>
      <c r="I132" t="str">
        <f t="shared" si="2"/>
        <v>PL2_4227_235_PMP_0211_SI</v>
      </c>
      <c r="J132" t="s">
        <v>681</v>
      </c>
      <c r="K132" t="s">
        <v>66</v>
      </c>
      <c r="M132" t="s">
        <v>74</v>
      </c>
      <c r="N132" t="str">
        <f>_xlfn.CONCAT(A132, ",", B132, ",", I132, ",""", J132, """,""", K132, """,""", L132, """,""", M132, """")</f>
        <v>TAG,,PL2_4227_235_PMP_0211_SI,"Nitrate Recycle Pump No. 3 Speed Feedback","REAL","","(RADIX := Float, Constant := false, ExternalAccess := Read/Write)"</v>
      </c>
    </row>
    <row r="133" spans="1:14" x14ac:dyDescent="0.25">
      <c r="A133" t="s">
        <v>35</v>
      </c>
      <c r="C133" t="s">
        <v>639</v>
      </c>
      <c r="D133" s="14">
        <v>4227</v>
      </c>
      <c r="E133" s="14">
        <v>235</v>
      </c>
      <c r="F133" t="s">
        <v>642</v>
      </c>
      <c r="G133" s="14" t="s">
        <v>652</v>
      </c>
      <c r="H133" t="s">
        <v>643</v>
      </c>
      <c r="I133" t="str">
        <f t="shared" si="2"/>
        <v>PL2_4227_235_PMP_0211_TAH</v>
      </c>
      <c r="J133" t="s">
        <v>677</v>
      </c>
      <c r="K133" t="s">
        <v>632</v>
      </c>
      <c r="M133" t="s">
        <v>72</v>
      </c>
      <c r="N133" t="str">
        <f>_xlfn.CONCAT(A133, ",", B133, ",", I133, ",""", J133, """,""", K133, """,""", L133, """,""", M133, """")</f>
        <v>TAG,,PL2_4227_235_PMP_0211_TAH,"Nitrate Recycle Pump No. 3 Temperature High","fbDigital","","(Constant := false, ExternalAccess := Read/Write)"</v>
      </c>
    </row>
    <row r="134" spans="1:14" x14ac:dyDescent="0.25">
      <c r="A134" t="s">
        <v>35</v>
      </c>
      <c r="C134" t="s">
        <v>639</v>
      </c>
      <c r="D134" s="14">
        <v>4227</v>
      </c>
      <c r="E134" s="14">
        <v>235</v>
      </c>
      <c r="F134" t="s">
        <v>642</v>
      </c>
      <c r="G134" s="14" t="s">
        <v>652</v>
      </c>
      <c r="H134" t="s">
        <v>792</v>
      </c>
      <c r="I134" t="str">
        <f t="shared" si="2"/>
        <v>PL2_4227_235_PMP_0211_YAE</v>
      </c>
      <c r="J134" t="s">
        <v>679</v>
      </c>
      <c r="K134" t="s">
        <v>632</v>
      </c>
      <c r="M134" t="s">
        <v>72</v>
      </c>
      <c r="N134" t="str">
        <f>_xlfn.CONCAT(A134, ",", B134, ",", I134, ",""", J134, """,""", K134, """,""", L134, """,""", M134, """")</f>
        <v>TAG,,PL2_4227_235_PMP_0211_YAE,"Nitrate Recycle Pump No. 3 E-Stop","fbDigital","","(Constant := false, ExternalAccess := Read/Write)"</v>
      </c>
    </row>
    <row r="135" spans="1:14" x14ac:dyDescent="0.25">
      <c r="A135" t="s">
        <v>35</v>
      </c>
      <c r="C135" t="s">
        <v>639</v>
      </c>
      <c r="D135" s="14">
        <v>4227</v>
      </c>
      <c r="E135" s="14">
        <v>235</v>
      </c>
      <c r="F135" t="s">
        <v>642</v>
      </c>
      <c r="G135" s="14" t="s">
        <v>652</v>
      </c>
      <c r="H135" t="s">
        <v>790</v>
      </c>
      <c r="I135" t="str">
        <f t="shared" si="2"/>
        <v>PL2_4227_235_PMP_0211_YAF</v>
      </c>
      <c r="J135" t="s">
        <v>676</v>
      </c>
      <c r="K135" t="s">
        <v>632</v>
      </c>
      <c r="M135" t="s">
        <v>72</v>
      </c>
      <c r="N135" t="str">
        <f>_xlfn.CONCAT(A135, ",", B135, ",", I135, ",""", J135, """,""", K135, """,""", L135, """,""", M135, """")</f>
        <v>TAG,,PL2_4227_235_PMP_0211_YAF,"Nitrate Recycle Pump No. 3 Fault","fbDigital","","(Constant := false, ExternalAccess := Read/Write)"</v>
      </c>
    </row>
    <row r="136" spans="1:14" x14ac:dyDescent="0.25">
      <c r="A136" t="s">
        <v>35</v>
      </c>
      <c r="C136" t="s">
        <v>639</v>
      </c>
      <c r="D136" s="14">
        <v>4227</v>
      </c>
      <c r="E136" s="14">
        <v>235</v>
      </c>
      <c r="F136" t="s">
        <v>642</v>
      </c>
      <c r="G136" s="14" t="s">
        <v>652</v>
      </c>
      <c r="H136" t="s">
        <v>645</v>
      </c>
      <c r="I136" t="str">
        <f t="shared" si="2"/>
        <v>PL2_4227_235_PMP_0211_YCI</v>
      </c>
      <c r="J136" t="s">
        <v>674</v>
      </c>
      <c r="K136" t="s">
        <v>44</v>
      </c>
      <c r="M136" t="s">
        <v>73</v>
      </c>
      <c r="N136" t="str">
        <f>_xlfn.CONCAT(A136, ",", B136, ",", I136, ",""", J136, """,""", K136, """,""", L136, """,""", M136, """")</f>
        <v>TAG,,PL2_4227_235_PMP_0211_YCI,"Nitrate Recycle Pump No. 3 In Remote","BOOL","","(RADIX := Decimal, Constant := false, ExternalAccess := Read/Write)"</v>
      </c>
    </row>
    <row r="137" spans="1:14" x14ac:dyDescent="0.25">
      <c r="A137" t="s">
        <v>35</v>
      </c>
      <c r="C137" t="s">
        <v>639</v>
      </c>
      <c r="D137" s="14">
        <v>4227</v>
      </c>
      <c r="E137" s="14">
        <v>235</v>
      </c>
      <c r="F137" t="s">
        <v>642</v>
      </c>
      <c r="G137" s="14" t="s">
        <v>652</v>
      </c>
      <c r="H137" t="s">
        <v>791</v>
      </c>
      <c r="I137" t="str">
        <f t="shared" si="2"/>
        <v>PL2_4227_235_PMP_0211_YRI</v>
      </c>
      <c r="J137" t="s">
        <v>675</v>
      </c>
      <c r="K137" t="s">
        <v>44</v>
      </c>
      <c r="M137" t="s">
        <v>73</v>
      </c>
      <c r="N137" t="str">
        <f>_xlfn.CONCAT(A137, ",", B137, ",", I137, ",""", J137, """,""", K137, """,""", L137, """,""", M137, """")</f>
        <v>TAG,,PL2_4227_235_PMP_0211_YRI,"Nitrate Recycle Pump No. 3 Running","BOOL","","(RADIX := Decimal, Constant := false, ExternalAccess := Read/Write)"</v>
      </c>
    </row>
    <row r="138" spans="1:14" x14ac:dyDescent="0.25">
      <c r="A138" t="s">
        <v>35</v>
      </c>
      <c r="C138" t="s">
        <v>639</v>
      </c>
      <c r="D138" s="14">
        <v>4227</v>
      </c>
      <c r="E138" s="14">
        <v>235</v>
      </c>
      <c r="F138" t="s">
        <v>642</v>
      </c>
      <c r="G138" s="14" t="s">
        <v>653</v>
      </c>
      <c r="I138" t="str">
        <f t="shared" si="2"/>
        <v>PL2_4227_235_PMP_0212</v>
      </c>
      <c r="J138" t="s">
        <v>626</v>
      </c>
      <c r="K138" t="s">
        <v>710</v>
      </c>
      <c r="M138" t="s">
        <v>72</v>
      </c>
      <c r="N138" t="str">
        <f>_xlfn.CONCAT(A138, ",", B138, ",", I138, ",""", J138, """,""", K138, """,""", L138, """,""", M138, """")</f>
        <v>TAG,,PL2_4227_235_PMP_0212,"Nitrate Recycle Pump No. 4","fbMotor","","(Constant := false, ExternalAccess := Read/Write)"</v>
      </c>
    </row>
    <row r="139" spans="1:14" x14ac:dyDescent="0.25">
      <c r="A139" t="s">
        <v>35</v>
      </c>
      <c r="C139" t="s">
        <v>639</v>
      </c>
      <c r="D139" s="14">
        <v>4227</v>
      </c>
      <c r="E139" s="14">
        <v>235</v>
      </c>
      <c r="F139" t="s">
        <v>642</v>
      </c>
      <c r="G139" s="14" t="s">
        <v>653</v>
      </c>
      <c r="H139" t="s">
        <v>648</v>
      </c>
      <c r="I139" t="str">
        <f t="shared" si="2"/>
        <v>PL2_4227_235_PMP_0212_HSS</v>
      </c>
      <c r="J139" t="s">
        <v>689</v>
      </c>
      <c r="K139" t="s">
        <v>44</v>
      </c>
      <c r="M139" t="s">
        <v>73</v>
      </c>
      <c r="N139" t="str">
        <f>_xlfn.CONCAT(A139, ",", B139, ",", I139, ",""", J139, """,""", K139, """,""", L139, """,""", M139, """")</f>
        <v>TAG,,PL2_4227_235_PMP_0212_HSS,"Nitrate Recycle Pump No. 4 Start / Stop Command","BOOL","","(RADIX := Decimal, Constant := false, ExternalAccess := Read/Write)"</v>
      </c>
    </row>
    <row r="140" spans="1:14" x14ac:dyDescent="0.25">
      <c r="A140" t="s">
        <v>35</v>
      </c>
      <c r="C140" t="s">
        <v>639</v>
      </c>
      <c r="D140" s="14">
        <v>4227</v>
      </c>
      <c r="E140" s="14">
        <v>235</v>
      </c>
      <c r="F140" t="s">
        <v>642</v>
      </c>
      <c r="G140" s="14" t="s">
        <v>653</v>
      </c>
      <c r="H140" t="s">
        <v>647</v>
      </c>
      <c r="I140" t="str">
        <f t="shared" si="2"/>
        <v>PL2_4227_235_PMP_0212_MAH</v>
      </c>
      <c r="J140" t="s">
        <v>687</v>
      </c>
      <c r="K140" t="s">
        <v>632</v>
      </c>
      <c r="M140" t="s">
        <v>72</v>
      </c>
      <c r="N140" t="str">
        <f>_xlfn.CONCAT(A140, ",", B140, ",", I140, ",""", J140, """,""", K140, """,""", L140, """,""", M140, """")</f>
        <v>TAG,,PL2_4227_235_PMP_0212_MAH,"Nitrate Recycle Pump No. 4 Leak Alarm","fbDigital","","(Constant := false, ExternalAccess := Read/Write)"</v>
      </c>
    </row>
    <row r="141" spans="1:14" x14ac:dyDescent="0.25">
      <c r="A141" t="s">
        <v>35</v>
      </c>
      <c r="C141" t="s">
        <v>639</v>
      </c>
      <c r="D141" s="14">
        <v>4227</v>
      </c>
      <c r="E141" s="14">
        <v>235</v>
      </c>
      <c r="F141" t="s">
        <v>642</v>
      </c>
      <c r="G141" s="14" t="s">
        <v>653</v>
      </c>
      <c r="H141" t="s">
        <v>650</v>
      </c>
      <c r="I141" t="str">
        <f t="shared" si="2"/>
        <v>PL2_4227_235_PMP_0212_SC</v>
      </c>
      <c r="J141" t="s">
        <v>691</v>
      </c>
      <c r="K141" t="s">
        <v>66</v>
      </c>
      <c r="M141" t="s">
        <v>74</v>
      </c>
      <c r="N141" t="str">
        <f>_xlfn.CONCAT(A141, ",", B141, ",", I141, ",""", J141, """,""", K141, """,""", L141, """,""", M141, """")</f>
        <v>TAG,,PL2_4227_235_PMP_0212_SC,"Nitrate Recycle Pump No. 4 Speed Setpoint","REAL","","(RADIX := Float, Constant := false, ExternalAccess := Read/Write)"</v>
      </c>
    </row>
    <row r="142" spans="1:14" x14ac:dyDescent="0.25">
      <c r="A142" t="s">
        <v>35</v>
      </c>
      <c r="C142" t="s">
        <v>639</v>
      </c>
      <c r="D142" s="14">
        <v>4227</v>
      </c>
      <c r="E142" s="14">
        <v>235</v>
      </c>
      <c r="F142" t="s">
        <v>642</v>
      </c>
      <c r="G142" s="14" t="s">
        <v>653</v>
      </c>
      <c r="H142" t="s">
        <v>649</v>
      </c>
      <c r="I142" t="str">
        <f t="shared" si="2"/>
        <v>PL2_4227_235_PMP_0212_SI</v>
      </c>
      <c r="J142" t="s">
        <v>690</v>
      </c>
      <c r="K142" t="s">
        <v>66</v>
      </c>
      <c r="M142" t="s">
        <v>74</v>
      </c>
      <c r="N142" t="str">
        <f>_xlfn.CONCAT(A142, ",", B142, ",", I142, ",""", J142, """,""", K142, """,""", L142, """,""", M142, """")</f>
        <v>TAG,,PL2_4227_235_PMP_0212_SI,"Nitrate Recycle Pump No. 4 Speed Feedback","REAL","","(RADIX := Float, Constant := false, ExternalAccess := Read/Write)"</v>
      </c>
    </row>
    <row r="143" spans="1:14" x14ac:dyDescent="0.25">
      <c r="A143" t="s">
        <v>35</v>
      </c>
      <c r="C143" t="s">
        <v>639</v>
      </c>
      <c r="D143" s="14">
        <v>4227</v>
      </c>
      <c r="E143" s="14">
        <v>235</v>
      </c>
      <c r="F143" t="s">
        <v>642</v>
      </c>
      <c r="G143" s="14" t="s">
        <v>653</v>
      </c>
      <c r="H143" t="s">
        <v>643</v>
      </c>
      <c r="I143" t="str">
        <f t="shared" si="2"/>
        <v>PL2_4227_235_PMP_0212_TAH</v>
      </c>
      <c r="J143" t="s">
        <v>686</v>
      </c>
      <c r="K143" t="s">
        <v>632</v>
      </c>
      <c r="M143" t="s">
        <v>72</v>
      </c>
      <c r="N143" t="str">
        <f>_xlfn.CONCAT(A143, ",", B143, ",", I143, ",""", J143, """,""", K143, """,""", L143, """,""", M143, """")</f>
        <v>TAG,,PL2_4227_235_PMP_0212_TAH,"Nitrate Recycle Pump No. 4 Temperature High","fbDigital","","(Constant := false, ExternalAccess := Read/Write)"</v>
      </c>
    </row>
    <row r="144" spans="1:14" x14ac:dyDescent="0.25">
      <c r="A144" t="s">
        <v>35</v>
      </c>
      <c r="C144" t="s">
        <v>639</v>
      </c>
      <c r="D144" s="14">
        <v>4227</v>
      </c>
      <c r="E144" s="14">
        <v>235</v>
      </c>
      <c r="F144" t="s">
        <v>642</v>
      </c>
      <c r="G144" s="14" t="s">
        <v>653</v>
      </c>
      <c r="H144" t="s">
        <v>792</v>
      </c>
      <c r="I144" t="str">
        <f t="shared" si="2"/>
        <v>PL2_4227_235_PMP_0212_YAE</v>
      </c>
      <c r="J144" t="s">
        <v>688</v>
      </c>
      <c r="K144" t="s">
        <v>632</v>
      </c>
      <c r="M144" t="s">
        <v>72</v>
      </c>
      <c r="N144" t="str">
        <f>_xlfn.CONCAT(A144, ",", B144, ",", I144, ",""", J144, """,""", K144, """,""", L144, """,""", M144, """")</f>
        <v>TAG,,PL2_4227_235_PMP_0212_YAE,"Nitrate Recycle Pump No. 4 E-Stop","fbDigital","","(Constant := false, ExternalAccess := Read/Write)"</v>
      </c>
    </row>
    <row r="145" spans="1:14" x14ac:dyDescent="0.25">
      <c r="A145" t="s">
        <v>35</v>
      </c>
      <c r="C145" t="s">
        <v>639</v>
      </c>
      <c r="D145" s="14">
        <v>4227</v>
      </c>
      <c r="E145" s="14">
        <v>235</v>
      </c>
      <c r="F145" t="s">
        <v>642</v>
      </c>
      <c r="G145" s="14" t="s">
        <v>653</v>
      </c>
      <c r="H145" t="s">
        <v>790</v>
      </c>
      <c r="I145" t="str">
        <f t="shared" si="2"/>
        <v>PL2_4227_235_PMP_0212_YAF</v>
      </c>
      <c r="J145" t="s">
        <v>685</v>
      </c>
      <c r="K145" t="s">
        <v>632</v>
      </c>
      <c r="M145" t="s">
        <v>72</v>
      </c>
      <c r="N145" t="str">
        <f>_xlfn.CONCAT(A145, ",", B145, ",", I145, ",""", J145, """,""", K145, """,""", L145, """,""", M145, """")</f>
        <v>TAG,,PL2_4227_235_PMP_0212_YAF,"Nitrate Recycle Pump No. 4 Fault","fbDigital","","(Constant := false, ExternalAccess := Read/Write)"</v>
      </c>
    </row>
    <row r="146" spans="1:14" x14ac:dyDescent="0.25">
      <c r="A146" t="s">
        <v>35</v>
      </c>
      <c r="C146" t="s">
        <v>639</v>
      </c>
      <c r="D146" s="14">
        <v>4227</v>
      </c>
      <c r="E146" s="14">
        <v>235</v>
      </c>
      <c r="F146" t="s">
        <v>642</v>
      </c>
      <c r="G146" s="14" t="s">
        <v>653</v>
      </c>
      <c r="H146" t="s">
        <v>645</v>
      </c>
      <c r="I146" t="str">
        <f t="shared" si="2"/>
        <v>PL2_4227_235_PMP_0212_YCI</v>
      </c>
      <c r="J146" t="s">
        <v>683</v>
      </c>
      <c r="K146" t="s">
        <v>44</v>
      </c>
      <c r="M146" t="s">
        <v>73</v>
      </c>
      <c r="N146" t="str">
        <f>_xlfn.CONCAT(A146, ",", B146, ",", I146, ",""", J146, """,""", K146, """,""", L146, """,""", M146, """")</f>
        <v>TAG,,PL2_4227_235_PMP_0212_YCI,"Nitrate Recycle Pump No. 4 In Remote","BOOL","","(RADIX := Decimal, Constant := false, ExternalAccess := Read/Write)"</v>
      </c>
    </row>
    <row r="147" spans="1:14" x14ac:dyDescent="0.25">
      <c r="A147" t="s">
        <v>35</v>
      </c>
      <c r="C147" t="s">
        <v>639</v>
      </c>
      <c r="D147" s="14">
        <v>4227</v>
      </c>
      <c r="E147" s="14">
        <v>235</v>
      </c>
      <c r="F147" t="s">
        <v>642</v>
      </c>
      <c r="G147" s="14" t="s">
        <v>653</v>
      </c>
      <c r="H147" t="s">
        <v>791</v>
      </c>
      <c r="I147" t="str">
        <f t="shared" si="2"/>
        <v>PL2_4227_235_PMP_0212_YRI</v>
      </c>
      <c r="J147" t="s">
        <v>684</v>
      </c>
      <c r="K147" t="s">
        <v>44</v>
      </c>
      <c r="M147" t="s">
        <v>73</v>
      </c>
      <c r="N147" t="str">
        <f>_xlfn.CONCAT(A147, ",", B147, ",", I147, ",""", J147, """,""", K147, """,""", L147, """,""", M147, """")</f>
        <v>TAG,,PL2_4227_235_PMP_0212_YRI,"Nitrate Recycle Pump No. 4 Running","BOOL","","(RADIX := Decimal, Constant := false, ExternalAccess := Read/Write)"</v>
      </c>
    </row>
    <row r="148" spans="1:14" x14ac:dyDescent="0.25">
      <c r="A148" t="s">
        <v>35</v>
      </c>
      <c r="C148" t="s">
        <v>639</v>
      </c>
      <c r="D148" s="14">
        <v>4227</v>
      </c>
      <c r="E148" s="14">
        <v>235</v>
      </c>
      <c r="F148" t="s">
        <v>642</v>
      </c>
      <c r="G148" s="14" t="s">
        <v>654</v>
      </c>
      <c r="I148" t="str">
        <f t="shared" si="2"/>
        <v>PL2_4227_235_PMP_0311</v>
      </c>
      <c r="J148" t="s">
        <v>628</v>
      </c>
      <c r="K148" t="s">
        <v>710</v>
      </c>
      <c r="M148" t="s">
        <v>72</v>
      </c>
      <c r="N148" t="str">
        <f>_xlfn.CONCAT(A148, ",", B148, ",", I148, ",""", J148, """,""", K148, """,""", L148, """,""", M148, """")</f>
        <v>TAG,,PL2_4227_235_PMP_0311,"Nitrate Recycle Pump No. 5","fbMotor","","(Constant := false, ExternalAccess := Read/Write)"</v>
      </c>
    </row>
    <row r="149" spans="1:14" x14ac:dyDescent="0.25">
      <c r="A149" t="s">
        <v>35</v>
      </c>
      <c r="C149" t="s">
        <v>639</v>
      </c>
      <c r="D149" s="14">
        <v>4227</v>
      </c>
      <c r="E149" s="14">
        <v>235</v>
      </c>
      <c r="F149" t="s">
        <v>642</v>
      </c>
      <c r="G149" s="14" t="s">
        <v>654</v>
      </c>
      <c r="H149" t="s">
        <v>648</v>
      </c>
      <c r="I149" t="str">
        <f t="shared" si="2"/>
        <v>PL2_4227_235_PMP_0311_HSS</v>
      </c>
      <c r="J149" t="s">
        <v>698</v>
      </c>
      <c r="K149" t="s">
        <v>44</v>
      </c>
      <c r="M149" t="s">
        <v>73</v>
      </c>
      <c r="N149" t="str">
        <f>_xlfn.CONCAT(A149, ",", B149, ",", I149, ",""", J149, """,""", K149, """,""", L149, """,""", M149, """")</f>
        <v>TAG,,PL2_4227_235_PMP_0311_HSS,"Nitrate Recycle Pump No. 5 Start / Stop Command","BOOL","","(RADIX := Decimal, Constant := false, ExternalAccess := Read/Write)"</v>
      </c>
    </row>
    <row r="150" spans="1:14" x14ac:dyDescent="0.25">
      <c r="A150" t="s">
        <v>35</v>
      </c>
      <c r="C150" t="s">
        <v>639</v>
      </c>
      <c r="D150" s="14">
        <v>4227</v>
      </c>
      <c r="E150" s="14">
        <v>235</v>
      </c>
      <c r="F150" t="s">
        <v>642</v>
      </c>
      <c r="G150" s="14" t="s">
        <v>654</v>
      </c>
      <c r="H150" t="s">
        <v>647</v>
      </c>
      <c r="I150" t="str">
        <f t="shared" si="2"/>
        <v>PL2_4227_235_PMP_0311_MAH</v>
      </c>
      <c r="J150" t="s">
        <v>696</v>
      </c>
      <c r="K150" t="s">
        <v>632</v>
      </c>
      <c r="M150" t="s">
        <v>72</v>
      </c>
      <c r="N150" t="str">
        <f>_xlfn.CONCAT(A150, ",", B150, ",", I150, ",""", J150, """,""", K150, """,""", L150, """,""", M150, """")</f>
        <v>TAG,,PL2_4227_235_PMP_0311_MAH,"Nitrate Recycle Pump No. 5 Leak Alarm","fbDigital","","(Constant := false, ExternalAccess := Read/Write)"</v>
      </c>
    </row>
    <row r="151" spans="1:14" x14ac:dyDescent="0.25">
      <c r="A151" t="s">
        <v>35</v>
      </c>
      <c r="C151" t="s">
        <v>639</v>
      </c>
      <c r="D151" s="14">
        <v>4227</v>
      </c>
      <c r="E151" s="14">
        <v>235</v>
      </c>
      <c r="F151" t="s">
        <v>642</v>
      </c>
      <c r="G151" s="14" t="s">
        <v>654</v>
      </c>
      <c r="H151" t="s">
        <v>650</v>
      </c>
      <c r="I151" t="str">
        <f t="shared" si="2"/>
        <v>PL2_4227_235_PMP_0311_SC</v>
      </c>
      <c r="J151" t="s">
        <v>700</v>
      </c>
      <c r="K151" t="s">
        <v>66</v>
      </c>
      <c r="M151" t="s">
        <v>74</v>
      </c>
      <c r="N151" t="str">
        <f>_xlfn.CONCAT(A151, ",", B151, ",", I151, ",""", J151, """,""", K151, """,""", L151, """,""", M151, """")</f>
        <v>TAG,,PL2_4227_235_PMP_0311_SC,"Nitrate Recycle Pump No. 5 Speed Setpoint","REAL","","(RADIX := Float, Constant := false, ExternalAccess := Read/Write)"</v>
      </c>
    </row>
    <row r="152" spans="1:14" x14ac:dyDescent="0.25">
      <c r="A152" t="s">
        <v>35</v>
      </c>
      <c r="C152" t="s">
        <v>639</v>
      </c>
      <c r="D152" s="14">
        <v>4227</v>
      </c>
      <c r="E152" s="14">
        <v>235</v>
      </c>
      <c r="F152" t="s">
        <v>642</v>
      </c>
      <c r="G152" s="14" t="s">
        <v>654</v>
      </c>
      <c r="H152" t="s">
        <v>649</v>
      </c>
      <c r="I152" t="str">
        <f t="shared" si="2"/>
        <v>PL2_4227_235_PMP_0311_SI</v>
      </c>
      <c r="J152" t="s">
        <v>699</v>
      </c>
      <c r="K152" t="s">
        <v>66</v>
      </c>
      <c r="M152" t="s">
        <v>74</v>
      </c>
      <c r="N152" t="str">
        <f>_xlfn.CONCAT(A152, ",", B152, ",", I152, ",""", J152, """,""", K152, """,""", L152, """,""", M152, """")</f>
        <v>TAG,,PL2_4227_235_PMP_0311_SI,"Nitrate Recycle Pump No. 5 Speed Feedback","REAL","","(RADIX := Float, Constant := false, ExternalAccess := Read/Write)"</v>
      </c>
    </row>
    <row r="153" spans="1:14" x14ac:dyDescent="0.25">
      <c r="A153" t="s">
        <v>35</v>
      </c>
      <c r="C153" t="s">
        <v>639</v>
      </c>
      <c r="D153" s="14">
        <v>4227</v>
      </c>
      <c r="E153" s="14">
        <v>235</v>
      </c>
      <c r="F153" t="s">
        <v>642</v>
      </c>
      <c r="G153" s="14" t="s">
        <v>654</v>
      </c>
      <c r="H153" t="s">
        <v>643</v>
      </c>
      <c r="I153" t="str">
        <f t="shared" si="2"/>
        <v>PL2_4227_235_PMP_0311_TAH</v>
      </c>
      <c r="J153" t="s">
        <v>695</v>
      </c>
      <c r="K153" t="s">
        <v>632</v>
      </c>
      <c r="M153" t="s">
        <v>72</v>
      </c>
      <c r="N153" t="str">
        <f>_xlfn.CONCAT(A153, ",", B153, ",", I153, ",""", J153, """,""", K153, """,""", L153, """,""", M153, """")</f>
        <v>TAG,,PL2_4227_235_PMP_0311_TAH,"Nitrate Recycle Pump No. 5 Temperature High","fbDigital","","(Constant := false, ExternalAccess := Read/Write)"</v>
      </c>
    </row>
    <row r="154" spans="1:14" x14ac:dyDescent="0.25">
      <c r="A154" t="s">
        <v>35</v>
      </c>
      <c r="C154" t="s">
        <v>639</v>
      </c>
      <c r="D154" s="14">
        <v>4227</v>
      </c>
      <c r="E154" s="14">
        <v>235</v>
      </c>
      <c r="F154" t="s">
        <v>642</v>
      </c>
      <c r="G154" s="14" t="s">
        <v>654</v>
      </c>
      <c r="H154" t="s">
        <v>792</v>
      </c>
      <c r="I154" t="str">
        <f t="shared" si="2"/>
        <v>PL2_4227_235_PMP_0311_YAE</v>
      </c>
      <c r="J154" t="s">
        <v>697</v>
      </c>
      <c r="K154" t="s">
        <v>632</v>
      </c>
      <c r="M154" t="s">
        <v>72</v>
      </c>
      <c r="N154" t="str">
        <f>_xlfn.CONCAT(A154, ",", B154, ",", I154, ",""", J154, """,""", K154, """,""", L154, """,""", M154, """")</f>
        <v>TAG,,PL2_4227_235_PMP_0311_YAE,"Nitrate Recycle Pump No. 5 E-Stop","fbDigital","","(Constant := false, ExternalAccess := Read/Write)"</v>
      </c>
    </row>
    <row r="155" spans="1:14" x14ac:dyDescent="0.25">
      <c r="A155" t="s">
        <v>35</v>
      </c>
      <c r="C155" t="s">
        <v>639</v>
      </c>
      <c r="D155" s="14">
        <v>4227</v>
      </c>
      <c r="E155" s="14">
        <v>235</v>
      </c>
      <c r="F155" t="s">
        <v>642</v>
      </c>
      <c r="G155" s="14" t="s">
        <v>654</v>
      </c>
      <c r="H155" t="s">
        <v>790</v>
      </c>
      <c r="I155" t="str">
        <f t="shared" si="2"/>
        <v>PL2_4227_235_PMP_0311_YAF</v>
      </c>
      <c r="J155" t="s">
        <v>694</v>
      </c>
      <c r="K155" t="s">
        <v>632</v>
      </c>
      <c r="M155" t="s">
        <v>72</v>
      </c>
      <c r="N155" t="str">
        <f>_xlfn.CONCAT(A155, ",", B155, ",", I155, ",""", J155, """,""", K155, """,""", L155, """,""", M155, """")</f>
        <v>TAG,,PL2_4227_235_PMP_0311_YAF,"Nitrate Recycle Pump No. 5 Fault","fbDigital","","(Constant := false, ExternalAccess := Read/Write)"</v>
      </c>
    </row>
    <row r="156" spans="1:14" x14ac:dyDescent="0.25">
      <c r="A156" t="s">
        <v>35</v>
      </c>
      <c r="C156" t="s">
        <v>639</v>
      </c>
      <c r="D156" s="14">
        <v>4227</v>
      </c>
      <c r="E156" s="14">
        <v>235</v>
      </c>
      <c r="F156" t="s">
        <v>642</v>
      </c>
      <c r="G156" s="14" t="s">
        <v>654</v>
      </c>
      <c r="H156" t="s">
        <v>645</v>
      </c>
      <c r="I156" t="str">
        <f t="shared" si="2"/>
        <v>PL2_4227_235_PMP_0311_YCI</v>
      </c>
      <c r="J156" t="s">
        <v>692</v>
      </c>
      <c r="K156" t="s">
        <v>44</v>
      </c>
      <c r="M156" t="s">
        <v>73</v>
      </c>
      <c r="N156" t="str">
        <f>_xlfn.CONCAT(A156, ",", B156, ",", I156, ",""", J156, """,""", K156, """,""", L156, """,""", M156, """")</f>
        <v>TAG,,PL2_4227_235_PMP_0311_YCI,"Nitrate Recycle Pump No. 5 In Remote","BOOL","","(RADIX := Decimal, Constant := false, ExternalAccess := Read/Write)"</v>
      </c>
    </row>
    <row r="157" spans="1:14" x14ac:dyDescent="0.25">
      <c r="A157" t="s">
        <v>35</v>
      </c>
      <c r="C157" t="s">
        <v>639</v>
      </c>
      <c r="D157" s="14">
        <v>4227</v>
      </c>
      <c r="E157" s="14">
        <v>235</v>
      </c>
      <c r="F157" t="s">
        <v>642</v>
      </c>
      <c r="G157" s="14" t="s">
        <v>654</v>
      </c>
      <c r="H157" t="s">
        <v>791</v>
      </c>
      <c r="I157" t="str">
        <f t="shared" si="2"/>
        <v>PL2_4227_235_PMP_0311_YRI</v>
      </c>
      <c r="J157" t="s">
        <v>693</v>
      </c>
      <c r="K157" t="s">
        <v>44</v>
      </c>
      <c r="M157" t="s">
        <v>73</v>
      </c>
      <c r="N157" t="str">
        <f>_xlfn.CONCAT(A157, ",", B157, ",", I157, ",""", J157, """,""", K157, """,""", L157, """,""", M157, """")</f>
        <v>TAG,,PL2_4227_235_PMP_0311_YRI,"Nitrate Recycle Pump No. 5 Running","BOOL","","(RADIX := Decimal, Constant := false, ExternalAccess := Read/Write)"</v>
      </c>
    </row>
    <row r="158" spans="1:14" x14ac:dyDescent="0.25">
      <c r="A158" t="s">
        <v>35</v>
      </c>
      <c r="C158" t="s">
        <v>639</v>
      </c>
      <c r="D158" s="14">
        <v>4227</v>
      </c>
      <c r="E158" s="14">
        <v>235</v>
      </c>
      <c r="F158" t="s">
        <v>642</v>
      </c>
      <c r="G158" s="14" t="s">
        <v>655</v>
      </c>
      <c r="I158" t="str">
        <f t="shared" si="2"/>
        <v>PL2_4227_235_PMP_0312</v>
      </c>
      <c r="J158" t="s">
        <v>629</v>
      </c>
      <c r="K158" t="s">
        <v>710</v>
      </c>
      <c r="M158" t="s">
        <v>72</v>
      </c>
      <c r="N158" t="str">
        <f>_xlfn.CONCAT(A158, ",", B158, ",", I158, ",""", J158, """,""", K158, """,""", L158, """,""", M158, """")</f>
        <v>TAG,,PL2_4227_235_PMP_0312,"Nitrate Recycle Pump No. 6","fbMotor","","(Constant := false, ExternalAccess := Read/Write)"</v>
      </c>
    </row>
    <row r="159" spans="1:14" x14ac:dyDescent="0.25">
      <c r="A159" t="s">
        <v>35</v>
      </c>
      <c r="C159" t="s">
        <v>639</v>
      </c>
      <c r="D159" s="14">
        <v>4227</v>
      </c>
      <c r="E159" s="14">
        <v>235</v>
      </c>
      <c r="F159" t="s">
        <v>642</v>
      </c>
      <c r="G159" s="14" t="s">
        <v>655</v>
      </c>
      <c r="H159" t="s">
        <v>648</v>
      </c>
      <c r="I159" t="str">
        <f t="shared" si="2"/>
        <v>PL2_4227_235_PMP_0312_HSS</v>
      </c>
      <c r="J159" t="s">
        <v>707</v>
      </c>
      <c r="K159" t="s">
        <v>44</v>
      </c>
      <c r="M159" t="s">
        <v>73</v>
      </c>
      <c r="N159" t="str">
        <f>_xlfn.CONCAT(A159, ",", B159, ",", I159, ",""", J159, """,""", K159, """,""", L159, """,""", M159, """")</f>
        <v>TAG,,PL2_4227_235_PMP_0312_HSS,"Nitrate Recycle Pump No. 6 Start / Stop Command","BOOL","","(RADIX := Decimal, Constant := false, ExternalAccess := Read/Write)"</v>
      </c>
    </row>
    <row r="160" spans="1:14" x14ac:dyDescent="0.25">
      <c r="A160" t="s">
        <v>35</v>
      </c>
      <c r="C160" t="s">
        <v>639</v>
      </c>
      <c r="D160" s="14">
        <v>4227</v>
      </c>
      <c r="E160" s="14">
        <v>235</v>
      </c>
      <c r="F160" t="s">
        <v>642</v>
      </c>
      <c r="G160" s="14" t="s">
        <v>655</v>
      </c>
      <c r="H160" t="s">
        <v>647</v>
      </c>
      <c r="I160" t="str">
        <f t="shared" si="2"/>
        <v>PL2_4227_235_PMP_0312_MAH</v>
      </c>
      <c r="J160" t="s">
        <v>705</v>
      </c>
      <c r="K160" t="s">
        <v>632</v>
      </c>
      <c r="M160" t="s">
        <v>72</v>
      </c>
      <c r="N160" t="str">
        <f>_xlfn.CONCAT(A160, ",", B160, ",", I160, ",""", J160, """,""", K160, """,""", L160, """,""", M160, """")</f>
        <v>TAG,,PL2_4227_235_PMP_0312_MAH,"Nitrate Recycle Pump No. 6 Leak Alarm","fbDigital","","(Constant := false, ExternalAccess := Read/Write)"</v>
      </c>
    </row>
    <row r="161" spans="1:14" x14ac:dyDescent="0.25">
      <c r="A161" t="s">
        <v>35</v>
      </c>
      <c r="C161" t="s">
        <v>639</v>
      </c>
      <c r="D161" s="14">
        <v>4227</v>
      </c>
      <c r="E161" s="14">
        <v>235</v>
      </c>
      <c r="F161" t="s">
        <v>642</v>
      </c>
      <c r="G161" s="14" t="s">
        <v>655</v>
      </c>
      <c r="H161" t="s">
        <v>650</v>
      </c>
      <c r="I161" t="str">
        <f t="shared" si="2"/>
        <v>PL2_4227_235_PMP_0312_SC</v>
      </c>
      <c r="J161" t="s">
        <v>709</v>
      </c>
      <c r="K161" t="s">
        <v>66</v>
      </c>
      <c r="M161" t="s">
        <v>74</v>
      </c>
      <c r="N161" t="str">
        <f>_xlfn.CONCAT(A161, ",", B161, ",", I161, ",""", J161, """,""", K161, """,""", L161, """,""", M161, """")</f>
        <v>TAG,,PL2_4227_235_PMP_0312_SC,"Nitrate Recycle Pump No. 6 Speed Setpoint","REAL","","(RADIX := Float, Constant := false, ExternalAccess := Read/Write)"</v>
      </c>
    </row>
    <row r="162" spans="1:14" x14ac:dyDescent="0.25">
      <c r="A162" t="s">
        <v>35</v>
      </c>
      <c r="C162" t="s">
        <v>639</v>
      </c>
      <c r="D162" s="14">
        <v>4227</v>
      </c>
      <c r="E162" s="14">
        <v>235</v>
      </c>
      <c r="F162" t="s">
        <v>642</v>
      </c>
      <c r="G162" s="14" t="s">
        <v>655</v>
      </c>
      <c r="H162" t="s">
        <v>649</v>
      </c>
      <c r="I162" t="str">
        <f t="shared" si="2"/>
        <v>PL2_4227_235_PMP_0312_SI</v>
      </c>
      <c r="J162" t="s">
        <v>708</v>
      </c>
      <c r="K162" t="s">
        <v>66</v>
      </c>
      <c r="M162" t="s">
        <v>74</v>
      </c>
      <c r="N162" t="str">
        <f>_xlfn.CONCAT(A162, ",", B162, ",", I162, ",""", J162, """,""", K162, """,""", L162, """,""", M162, """")</f>
        <v>TAG,,PL2_4227_235_PMP_0312_SI,"Nitrate Recycle Pump No. 6 Speed Feedback","REAL","","(RADIX := Float, Constant := false, ExternalAccess := Read/Write)"</v>
      </c>
    </row>
    <row r="163" spans="1:14" x14ac:dyDescent="0.25">
      <c r="A163" t="s">
        <v>35</v>
      </c>
      <c r="C163" t="s">
        <v>639</v>
      </c>
      <c r="D163" s="14">
        <v>4227</v>
      </c>
      <c r="E163" s="14">
        <v>235</v>
      </c>
      <c r="F163" t="s">
        <v>642</v>
      </c>
      <c r="G163" s="14" t="s">
        <v>655</v>
      </c>
      <c r="H163" t="s">
        <v>643</v>
      </c>
      <c r="I163" t="str">
        <f t="shared" si="2"/>
        <v>PL2_4227_235_PMP_0312_TAH</v>
      </c>
      <c r="J163" t="s">
        <v>704</v>
      </c>
      <c r="K163" t="s">
        <v>632</v>
      </c>
      <c r="M163" t="s">
        <v>72</v>
      </c>
      <c r="N163" t="str">
        <f>_xlfn.CONCAT(A163, ",", B163, ",", I163, ",""", J163, """,""", K163, """,""", L163, """,""", M163, """")</f>
        <v>TAG,,PL2_4227_235_PMP_0312_TAH,"Nitrate Recycle Pump No. 6 Temperature High","fbDigital","","(Constant := false, ExternalAccess := Read/Write)"</v>
      </c>
    </row>
    <row r="164" spans="1:14" x14ac:dyDescent="0.25">
      <c r="A164" t="s">
        <v>35</v>
      </c>
      <c r="C164" t="s">
        <v>639</v>
      </c>
      <c r="D164" s="14">
        <v>4227</v>
      </c>
      <c r="E164" s="14">
        <v>235</v>
      </c>
      <c r="F164" t="s">
        <v>642</v>
      </c>
      <c r="G164" s="14" t="s">
        <v>655</v>
      </c>
      <c r="H164" t="s">
        <v>792</v>
      </c>
      <c r="I164" t="str">
        <f t="shared" si="2"/>
        <v>PL2_4227_235_PMP_0312_YAE</v>
      </c>
      <c r="J164" t="s">
        <v>706</v>
      </c>
      <c r="K164" t="s">
        <v>632</v>
      </c>
      <c r="M164" t="s">
        <v>72</v>
      </c>
      <c r="N164" t="str">
        <f>_xlfn.CONCAT(A164, ",", B164, ",", I164, ",""", J164, """,""", K164, """,""", L164, """,""", M164, """")</f>
        <v>TAG,,PL2_4227_235_PMP_0312_YAE,"Nitrate Recycle Pump No. 6 E-Stop","fbDigital","","(Constant := false, ExternalAccess := Read/Write)"</v>
      </c>
    </row>
    <row r="165" spans="1:14" x14ac:dyDescent="0.25">
      <c r="A165" t="s">
        <v>35</v>
      </c>
      <c r="C165" t="s">
        <v>639</v>
      </c>
      <c r="D165" s="14">
        <v>4227</v>
      </c>
      <c r="E165" s="14">
        <v>235</v>
      </c>
      <c r="F165" t="s">
        <v>642</v>
      </c>
      <c r="G165" s="14" t="s">
        <v>655</v>
      </c>
      <c r="H165" t="s">
        <v>790</v>
      </c>
      <c r="I165" t="str">
        <f t="shared" si="2"/>
        <v>PL2_4227_235_PMP_0312_YAF</v>
      </c>
      <c r="J165" t="s">
        <v>703</v>
      </c>
      <c r="K165" t="s">
        <v>632</v>
      </c>
      <c r="M165" t="s">
        <v>72</v>
      </c>
      <c r="N165" t="str">
        <f>_xlfn.CONCAT(A165, ",", B165, ",", I165, ",""", J165, """,""", K165, """,""", L165, """,""", M165, """")</f>
        <v>TAG,,PL2_4227_235_PMP_0312_YAF,"Nitrate Recycle Pump No. 6 Fault","fbDigital","","(Constant := false, ExternalAccess := Read/Write)"</v>
      </c>
    </row>
    <row r="166" spans="1:14" x14ac:dyDescent="0.25">
      <c r="A166" t="s">
        <v>35</v>
      </c>
      <c r="C166" t="s">
        <v>639</v>
      </c>
      <c r="D166" s="14">
        <v>4227</v>
      </c>
      <c r="E166" s="14">
        <v>235</v>
      </c>
      <c r="F166" t="s">
        <v>642</v>
      </c>
      <c r="G166" s="14" t="s">
        <v>655</v>
      </c>
      <c r="H166" t="s">
        <v>645</v>
      </c>
      <c r="I166" t="str">
        <f t="shared" si="2"/>
        <v>PL2_4227_235_PMP_0312_YCI</v>
      </c>
      <c r="J166" t="s">
        <v>701</v>
      </c>
      <c r="K166" t="s">
        <v>44</v>
      </c>
      <c r="M166" t="s">
        <v>73</v>
      </c>
      <c r="N166" t="str">
        <f>_xlfn.CONCAT(A166, ",", B166, ",", I166, ",""", J166, """,""", K166, """,""", L166, """,""", M166, """")</f>
        <v>TAG,,PL2_4227_235_PMP_0312_YCI,"Nitrate Recycle Pump No. 6 In Remote","BOOL","","(RADIX := Decimal, Constant := false, ExternalAccess := Read/Write)"</v>
      </c>
    </row>
    <row r="167" spans="1:14" x14ac:dyDescent="0.25">
      <c r="A167" t="s">
        <v>35</v>
      </c>
      <c r="C167" t="s">
        <v>639</v>
      </c>
      <c r="D167" s="14">
        <v>4227</v>
      </c>
      <c r="E167" s="14">
        <v>235</v>
      </c>
      <c r="F167" t="s">
        <v>642</v>
      </c>
      <c r="G167" s="14" t="s">
        <v>655</v>
      </c>
      <c r="H167" t="s">
        <v>791</v>
      </c>
      <c r="I167" t="str">
        <f t="shared" si="2"/>
        <v>PL2_4227_235_PMP_0312_YRI</v>
      </c>
      <c r="J167" t="s">
        <v>702</v>
      </c>
      <c r="K167" t="s">
        <v>44</v>
      </c>
      <c r="M167" t="s">
        <v>73</v>
      </c>
      <c r="N167" t="str">
        <f>_xlfn.CONCAT(A167, ",", B167, ",", I167, ",""", J167, """,""", K167, """,""", L167, """,""", M167, """")</f>
        <v>TAG,,PL2_4227_235_PMP_0312_YRI,"Nitrate Recycle Pump No. 6 Running","BOOL","","(RADIX := Decimal, Constant := false, ExternalAccess := Read/Write)"</v>
      </c>
    </row>
    <row r="168" spans="1:14" x14ac:dyDescent="0.25">
      <c r="A168" t="s">
        <v>35</v>
      </c>
      <c r="C168" t="s">
        <v>639</v>
      </c>
      <c r="D168" s="14">
        <v>4227</v>
      </c>
      <c r="E168" s="14" t="s">
        <v>740</v>
      </c>
      <c r="F168" t="s">
        <v>712</v>
      </c>
      <c r="G168" s="14" t="s">
        <v>742</v>
      </c>
      <c r="H168" t="s">
        <v>744</v>
      </c>
      <c r="I168" t="str">
        <f t="shared" si="2"/>
        <v>PL2_4227_431_AIT_0062_NO3</v>
      </c>
      <c r="J168" t="s">
        <v>746</v>
      </c>
      <c r="K168" t="s">
        <v>631</v>
      </c>
      <c r="M168" t="s">
        <v>72</v>
      </c>
      <c r="N168" t="str">
        <f>_xlfn.CONCAT(A168, ",", B168, ",", I168, ",""", J168, """,""", K168, """,""", L168, """,""", M168, """")</f>
        <v>TAG,,PL2_4227_431_AIT_0062_NO3,"BNR Effluent Channel Nitrate","fbAnalog","","(Constant := false, ExternalAccess := Read/Write)"</v>
      </c>
    </row>
    <row r="169" spans="1:14" x14ac:dyDescent="0.25">
      <c r="A169" t="s">
        <v>35</v>
      </c>
      <c r="C169" t="s">
        <v>639</v>
      </c>
      <c r="D169" s="14">
        <v>4227</v>
      </c>
      <c r="E169" s="14" t="s">
        <v>740</v>
      </c>
      <c r="F169" t="s">
        <v>712</v>
      </c>
      <c r="G169" s="14" t="s">
        <v>1620</v>
      </c>
      <c r="H169" t="s">
        <v>1621</v>
      </c>
      <c r="I169" t="str">
        <f t="shared" si="2"/>
        <v>PL2_4227_431_AIT_0064_NH3</v>
      </c>
      <c r="J169" t="s">
        <v>1619</v>
      </c>
      <c r="K169" t="s">
        <v>631</v>
      </c>
      <c r="M169" t="s">
        <v>72</v>
      </c>
      <c r="N169" t="str">
        <f>_xlfn.CONCAT(A169, ",", B169, ",", I169, ",""", J169, """,""", K169, """,""", L169, """,""", M169, """")</f>
        <v>TAG,,PL2_4227_431_AIT_0064_NH3,"BNR Structure Effluent Channel NH3/PO4","fbAnalog","","(Constant := false, ExternalAccess := Read/Write)"</v>
      </c>
    </row>
    <row r="170" spans="1:14" x14ac:dyDescent="0.25">
      <c r="A170" t="s">
        <v>35</v>
      </c>
      <c r="C170" t="s">
        <v>639</v>
      </c>
      <c r="D170" s="14">
        <v>4227</v>
      </c>
      <c r="E170" s="14" t="s">
        <v>720</v>
      </c>
      <c r="F170" t="s">
        <v>712</v>
      </c>
      <c r="G170" s="14" t="s">
        <v>721</v>
      </c>
      <c r="H170" t="s">
        <v>1615</v>
      </c>
      <c r="I170" t="str">
        <f t="shared" si="2"/>
        <v>PL2_4227_433_AIT_0131_AAH</v>
      </c>
      <c r="J170" t="s">
        <v>1597</v>
      </c>
      <c r="K170" t="s">
        <v>632</v>
      </c>
      <c r="M170" t="s">
        <v>72</v>
      </c>
      <c r="N170" t="str">
        <f>_xlfn.CONCAT(A170, ",", B170, ",", I170, ",""", J170, """,""", K170, """,""", L170, """,""", M170, """")</f>
        <v>TAG,,PL2_4227_433_AIT_0131_AAH,"BNR Train No. 1 Post Grid 1 High Dissolved Oxygen","fbDigital","","(Constant := false, ExternalAccess := Read/Write)"</v>
      </c>
    </row>
    <row r="171" spans="1:14" x14ac:dyDescent="0.25">
      <c r="A171" t="s">
        <v>35</v>
      </c>
      <c r="C171" t="s">
        <v>639</v>
      </c>
      <c r="D171" s="14">
        <v>4227</v>
      </c>
      <c r="E171" s="14" t="s">
        <v>720</v>
      </c>
      <c r="F171" t="s">
        <v>712</v>
      </c>
      <c r="G171" s="14" t="s">
        <v>721</v>
      </c>
      <c r="H171" t="s">
        <v>1616</v>
      </c>
      <c r="I171" t="str">
        <f t="shared" si="2"/>
        <v>PL2_4227_433_AIT_0131_AAL</v>
      </c>
      <c r="J171" t="s">
        <v>1606</v>
      </c>
      <c r="K171" t="s">
        <v>632</v>
      </c>
      <c r="M171" t="s">
        <v>72</v>
      </c>
      <c r="N171" t="str">
        <f>_xlfn.CONCAT(A171, ",", B171, ",", I171, ",""", J171, """,""", K171, """,""", L171, """,""", M171, """")</f>
        <v>TAG,,PL2_4227_433_AIT_0131_AAL,"BNR Train No. 1 Post Grid 1 Low Dissolved Oxygen","fbDigital","","(Constant := false, ExternalAccess := Read/Write)"</v>
      </c>
    </row>
    <row r="172" spans="1:14" x14ac:dyDescent="0.25">
      <c r="A172" t="s">
        <v>35</v>
      </c>
      <c r="C172" t="s">
        <v>639</v>
      </c>
      <c r="D172" s="14">
        <v>4227</v>
      </c>
      <c r="E172" s="14" t="s">
        <v>720</v>
      </c>
      <c r="F172" t="s">
        <v>712</v>
      </c>
      <c r="G172" s="14" t="s">
        <v>721</v>
      </c>
      <c r="H172" t="s">
        <v>6</v>
      </c>
      <c r="I172" t="str">
        <f t="shared" si="2"/>
        <v>PL2_4227_433_AIT_0131_DO</v>
      </c>
      <c r="J172" t="s">
        <v>724</v>
      </c>
      <c r="K172" t="s">
        <v>631</v>
      </c>
      <c r="M172" t="s">
        <v>72</v>
      </c>
      <c r="N172" t="str">
        <f>_xlfn.CONCAT(A172, ",", B172, ",", I172, ",""", J172, """,""", K172, """,""", L172, """,""", M172, """")</f>
        <v>TAG,,PL2_4227_433_AIT_0131_DO,"BNR Train No. 1 DO Post Grid 1","fbAnalog","","(Constant := false, ExternalAccess := Read/Write)"</v>
      </c>
    </row>
    <row r="173" spans="1:14" x14ac:dyDescent="0.25">
      <c r="A173" t="s">
        <v>35</v>
      </c>
      <c r="C173" t="s">
        <v>639</v>
      </c>
      <c r="D173" s="14">
        <v>4227</v>
      </c>
      <c r="E173" s="14" t="s">
        <v>720</v>
      </c>
      <c r="F173" t="s">
        <v>712</v>
      </c>
      <c r="G173" s="14" t="s">
        <v>722</v>
      </c>
      <c r="H173" t="s">
        <v>1615</v>
      </c>
      <c r="I173" t="str">
        <f t="shared" si="2"/>
        <v>PL2_4227_433_AIT_0133_AAH</v>
      </c>
      <c r="J173" t="s">
        <v>1598</v>
      </c>
      <c r="K173" t="s">
        <v>632</v>
      </c>
      <c r="M173" t="s">
        <v>72</v>
      </c>
      <c r="N173" t="str">
        <f>_xlfn.CONCAT(A173, ",", B173, ",", I173, ",""", J173, """,""", K173, """,""", L173, """,""", M173, """")</f>
        <v>TAG,,PL2_4227_433_AIT_0133_AAH,"BNR Train No. 1 Post Grid 3 High Dissolved Oxygen","fbDigital","","(Constant := false, ExternalAccess := Read/Write)"</v>
      </c>
    </row>
    <row r="174" spans="1:14" x14ac:dyDescent="0.25">
      <c r="A174" t="s">
        <v>35</v>
      </c>
      <c r="C174" t="s">
        <v>639</v>
      </c>
      <c r="D174" s="14">
        <v>4227</v>
      </c>
      <c r="E174" s="14" t="s">
        <v>720</v>
      </c>
      <c r="F174" t="s">
        <v>712</v>
      </c>
      <c r="G174" s="14" t="s">
        <v>722</v>
      </c>
      <c r="H174" t="s">
        <v>1616</v>
      </c>
      <c r="I174" t="str">
        <f t="shared" si="2"/>
        <v>PL2_4227_433_AIT_0133_AAL</v>
      </c>
      <c r="J174" t="s">
        <v>1607</v>
      </c>
      <c r="K174" t="s">
        <v>632</v>
      </c>
      <c r="M174" t="s">
        <v>72</v>
      </c>
      <c r="N174" t="str">
        <f>_xlfn.CONCAT(A174, ",", B174, ",", I174, ",""", J174, """,""", K174, """,""", L174, """,""", M174, """")</f>
        <v>TAG,,PL2_4227_433_AIT_0133_AAL,"BNR Train No. 1 Post Grid 3 Low Dissolved Oxygen","fbDigital","","(Constant := false, ExternalAccess := Read/Write)"</v>
      </c>
    </row>
    <row r="175" spans="1:14" x14ac:dyDescent="0.25">
      <c r="A175" t="s">
        <v>35</v>
      </c>
      <c r="C175" t="s">
        <v>639</v>
      </c>
      <c r="D175" s="14">
        <v>4227</v>
      </c>
      <c r="E175" s="14" t="s">
        <v>720</v>
      </c>
      <c r="F175" t="s">
        <v>712</v>
      </c>
      <c r="G175" s="14" t="s">
        <v>722</v>
      </c>
      <c r="H175" t="s">
        <v>6</v>
      </c>
      <c r="I175" t="str">
        <f t="shared" si="2"/>
        <v>PL2_4227_433_AIT_0133_DO</v>
      </c>
      <c r="J175" t="s">
        <v>725</v>
      </c>
      <c r="K175" t="s">
        <v>631</v>
      </c>
      <c r="M175" t="s">
        <v>72</v>
      </c>
      <c r="N175" t="str">
        <f>_xlfn.CONCAT(A175, ",", B175, ",", I175, ",""", J175, """,""", K175, """,""", L175, """,""", M175, """")</f>
        <v>TAG,,PL2_4227_433_AIT_0133_DO,"BNR Train No. 1 DO Post Grid 3","fbAnalog","","(Constant := false, ExternalAccess := Read/Write)"</v>
      </c>
    </row>
    <row r="176" spans="1:14" x14ac:dyDescent="0.25">
      <c r="A176" t="s">
        <v>35</v>
      </c>
      <c r="C176" t="s">
        <v>639</v>
      </c>
      <c r="D176" s="14">
        <v>4227</v>
      </c>
      <c r="E176" s="14" t="s">
        <v>720</v>
      </c>
      <c r="F176" t="s">
        <v>712</v>
      </c>
      <c r="G176" s="14" t="s">
        <v>723</v>
      </c>
      <c r="H176" t="s">
        <v>1615</v>
      </c>
      <c r="I176" t="str">
        <f t="shared" si="2"/>
        <v>PL2_4227_433_AIT_0135_AAH</v>
      </c>
      <c r="J176" t="s">
        <v>1599</v>
      </c>
      <c r="K176" t="s">
        <v>632</v>
      </c>
      <c r="M176" t="s">
        <v>72</v>
      </c>
      <c r="N176" t="str">
        <f>_xlfn.CONCAT(A176, ",", B176, ",", I176, ",""", J176, """,""", K176, """,""", L176, """,""", M176, """")</f>
        <v>TAG,,PL2_4227_433_AIT_0135_AAH,"BNR Train No. 1 Post Grid 5 High Dissolved Oxygen","fbDigital","","(Constant := false, ExternalAccess := Read/Write)"</v>
      </c>
    </row>
    <row r="177" spans="1:14" x14ac:dyDescent="0.25">
      <c r="A177" t="s">
        <v>35</v>
      </c>
      <c r="C177" t="s">
        <v>639</v>
      </c>
      <c r="D177" s="14">
        <v>4227</v>
      </c>
      <c r="E177" s="14" t="s">
        <v>720</v>
      </c>
      <c r="F177" t="s">
        <v>712</v>
      </c>
      <c r="G177" s="14" t="s">
        <v>723</v>
      </c>
      <c r="H177" t="s">
        <v>1616</v>
      </c>
      <c r="I177" t="str">
        <f t="shared" si="2"/>
        <v>PL2_4227_433_AIT_0135_AAL</v>
      </c>
      <c r="J177" t="s">
        <v>1608</v>
      </c>
      <c r="K177" t="s">
        <v>632</v>
      </c>
      <c r="M177" t="s">
        <v>72</v>
      </c>
      <c r="N177" t="str">
        <f>_xlfn.CONCAT(A177, ",", B177, ",", I177, ",""", J177, """,""", K177, """,""", L177, """,""", M177, """")</f>
        <v>TAG,,PL2_4227_433_AIT_0135_AAL,"BNR Train No. 1 Post Grid 5 Low Dissolved Oxygen","fbDigital","","(Constant := false, ExternalAccess := Read/Write)"</v>
      </c>
    </row>
    <row r="178" spans="1:14" x14ac:dyDescent="0.25">
      <c r="A178" t="s">
        <v>35</v>
      </c>
      <c r="C178" t="s">
        <v>639</v>
      </c>
      <c r="D178" s="14">
        <v>4227</v>
      </c>
      <c r="E178" s="14" t="s">
        <v>720</v>
      </c>
      <c r="F178" t="s">
        <v>712</v>
      </c>
      <c r="G178" s="14" t="s">
        <v>723</v>
      </c>
      <c r="H178" t="s">
        <v>6</v>
      </c>
      <c r="I178" t="str">
        <f t="shared" si="2"/>
        <v>PL2_4227_433_AIT_0135_DO</v>
      </c>
      <c r="J178" t="s">
        <v>726</v>
      </c>
      <c r="K178" t="s">
        <v>631</v>
      </c>
      <c r="M178" t="s">
        <v>72</v>
      </c>
      <c r="N178" t="str">
        <f>_xlfn.CONCAT(A178, ",", B178, ",", I178, ",""", J178, """,""", K178, """,""", L178, """,""", M178, """")</f>
        <v>TAG,,PL2_4227_433_AIT_0135_DO,"BNR Train No. 1 DO Post Grid 5","fbAnalog","","(Constant := false, ExternalAccess := Read/Write)"</v>
      </c>
    </row>
    <row r="179" spans="1:14" x14ac:dyDescent="0.25">
      <c r="A179" t="s">
        <v>35</v>
      </c>
      <c r="C179" t="s">
        <v>639</v>
      </c>
      <c r="D179" s="14">
        <v>4227</v>
      </c>
      <c r="E179" s="14" t="s">
        <v>720</v>
      </c>
      <c r="F179" t="s">
        <v>712</v>
      </c>
      <c r="G179" s="14" t="s">
        <v>734</v>
      </c>
      <c r="H179" t="s">
        <v>1615</v>
      </c>
      <c r="I179" t="str">
        <f t="shared" si="2"/>
        <v>PL2_4227_433_AIT_0141_AAH</v>
      </c>
      <c r="J179" t="s">
        <v>1600</v>
      </c>
      <c r="K179" t="s">
        <v>632</v>
      </c>
      <c r="M179" t="s">
        <v>72</v>
      </c>
      <c r="N179" t="str">
        <f>_xlfn.CONCAT(A179, ",", B179, ",", I179, ",""", J179, """,""", K179, """,""", L179, """,""", M179, """")</f>
        <v>TAG,,PL2_4227_433_AIT_0141_AAH,"BNR Train No. 2 Post Grid 1 High Dissolved Oxygen","fbDigital","","(Constant := false, ExternalAccess := Read/Write)"</v>
      </c>
    </row>
    <row r="180" spans="1:14" x14ac:dyDescent="0.25">
      <c r="A180" t="s">
        <v>35</v>
      </c>
      <c r="C180" t="s">
        <v>639</v>
      </c>
      <c r="D180" s="14">
        <v>4227</v>
      </c>
      <c r="E180" s="14" t="s">
        <v>720</v>
      </c>
      <c r="F180" t="s">
        <v>712</v>
      </c>
      <c r="G180" s="14" t="s">
        <v>734</v>
      </c>
      <c r="H180" t="s">
        <v>1616</v>
      </c>
      <c r="I180" t="str">
        <f t="shared" si="2"/>
        <v>PL2_4227_433_AIT_0141_AAL</v>
      </c>
      <c r="J180" t="s">
        <v>1609</v>
      </c>
      <c r="K180" t="s">
        <v>632</v>
      </c>
      <c r="M180" t="s">
        <v>72</v>
      </c>
      <c r="N180" t="str">
        <f>_xlfn.CONCAT(A180, ",", B180, ",", I180, ",""", J180, """,""", K180, """,""", L180, """,""", M180, """")</f>
        <v>TAG,,PL2_4227_433_AIT_0141_AAL,"BNR Train No. 2 Post Grid 1 Low Dissolved Oxygen","fbDigital","","(Constant := false, ExternalAccess := Read/Write)"</v>
      </c>
    </row>
    <row r="181" spans="1:14" x14ac:dyDescent="0.25">
      <c r="A181" t="s">
        <v>35</v>
      </c>
      <c r="C181" t="s">
        <v>639</v>
      </c>
      <c r="D181" s="14">
        <v>4227</v>
      </c>
      <c r="E181" s="14" t="s">
        <v>720</v>
      </c>
      <c r="F181" t="s">
        <v>712</v>
      </c>
      <c r="G181" s="14" t="s">
        <v>734</v>
      </c>
      <c r="H181" t="s">
        <v>6</v>
      </c>
      <c r="I181" t="str">
        <f t="shared" si="2"/>
        <v>PL2_4227_433_AIT_0141_DO</v>
      </c>
      <c r="J181" t="s">
        <v>733</v>
      </c>
      <c r="K181" t="s">
        <v>631</v>
      </c>
      <c r="M181" t="s">
        <v>72</v>
      </c>
      <c r="N181" t="str">
        <f>_xlfn.CONCAT(A181, ",", B181, ",", I181, ",""", J181, """,""", K181, """,""", L181, """,""", M181, """")</f>
        <v>TAG,,PL2_4227_433_AIT_0141_DO,"BNR Train No. 2 DO Post Grid 1","fbAnalog","","(Constant := false, ExternalAccess := Read/Write)"</v>
      </c>
    </row>
    <row r="182" spans="1:14" x14ac:dyDescent="0.25">
      <c r="A182" t="s">
        <v>35</v>
      </c>
      <c r="C182" t="s">
        <v>639</v>
      </c>
      <c r="D182" s="14">
        <v>4227</v>
      </c>
      <c r="E182" s="14" t="s">
        <v>720</v>
      </c>
      <c r="F182" t="s">
        <v>712</v>
      </c>
      <c r="G182" s="14" t="s">
        <v>735</v>
      </c>
      <c r="H182" t="s">
        <v>1615</v>
      </c>
      <c r="I182" t="str">
        <f t="shared" si="2"/>
        <v>PL2_4227_433_AIT_0143_AAH</v>
      </c>
      <c r="J182" t="s">
        <v>1601</v>
      </c>
      <c r="K182" t="s">
        <v>632</v>
      </c>
      <c r="M182" t="s">
        <v>72</v>
      </c>
      <c r="N182" t="str">
        <f>_xlfn.CONCAT(A182, ",", B182, ",", I182, ",""", J182, """,""", K182, """,""", L182, """,""", M182, """")</f>
        <v>TAG,,PL2_4227_433_AIT_0143_AAH,"BNR Train No. 2 Post Grid 3 High Dissolved Oxygen","fbDigital","","(Constant := false, ExternalAccess := Read/Write)"</v>
      </c>
    </row>
    <row r="183" spans="1:14" x14ac:dyDescent="0.25">
      <c r="A183" t="s">
        <v>35</v>
      </c>
      <c r="C183" t="s">
        <v>639</v>
      </c>
      <c r="D183" s="14">
        <v>4227</v>
      </c>
      <c r="E183" s="14" t="s">
        <v>720</v>
      </c>
      <c r="F183" t="s">
        <v>712</v>
      </c>
      <c r="G183" s="14" t="s">
        <v>735</v>
      </c>
      <c r="H183" t="s">
        <v>1616</v>
      </c>
      <c r="I183" t="str">
        <f t="shared" si="2"/>
        <v>PL2_4227_433_AIT_0143_AAL</v>
      </c>
      <c r="J183" t="s">
        <v>1610</v>
      </c>
      <c r="K183" t="s">
        <v>632</v>
      </c>
      <c r="M183" t="s">
        <v>72</v>
      </c>
      <c r="N183" t="str">
        <f>_xlfn.CONCAT(A183, ",", B183, ",", I183, ",""", J183, """,""", K183, """,""", L183, """,""", M183, """")</f>
        <v>TAG,,PL2_4227_433_AIT_0143_AAL,"BNR Train No. 2 Post Grid 3 Low Dissolved Oxygen","fbDigital","","(Constant := false, ExternalAccess := Read/Write)"</v>
      </c>
    </row>
    <row r="184" spans="1:14" x14ac:dyDescent="0.25">
      <c r="A184" t="s">
        <v>35</v>
      </c>
      <c r="C184" t="s">
        <v>639</v>
      </c>
      <c r="D184" s="14">
        <v>4227</v>
      </c>
      <c r="E184" s="14" t="s">
        <v>720</v>
      </c>
      <c r="F184" t="s">
        <v>712</v>
      </c>
      <c r="G184" s="14" t="s">
        <v>735</v>
      </c>
      <c r="H184" t="s">
        <v>6</v>
      </c>
      <c r="I184" t="str">
        <f t="shared" si="2"/>
        <v>PL2_4227_433_AIT_0143_DO</v>
      </c>
      <c r="J184" t="s">
        <v>732</v>
      </c>
      <c r="K184" t="s">
        <v>631</v>
      </c>
      <c r="M184" t="s">
        <v>72</v>
      </c>
      <c r="N184" t="str">
        <f>_xlfn.CONCAT(A184, ",", B184, ",", I184, ",""", J184, """,""", K184, """,""", L184, """,""", M184, """")</f>
        <v>TAG,,PL2_4227_433_AIT_0143_DO,"BNR Train No. 2 DO Post Grid 3","fbAnalog","","(Constant := false, ExternalAccess := Read/Write)"</v>
      </c>
    </row>
    <row r="185" spans="1:14" x14ac:dyDescent="0.25">
      <c r="A185" t="s">
        <v>35</v>
      </c>
      <c r="C185" t="s">
        <v>639</v>
      </c>
      <c r="D185" s="14">
        <v>4227</v>
      </c>
      <c r="E185" s="14" t="s">
        <v>720</v>
      </c>
      <c r="F185" t="s">
        <v>712</v>
      </c>
      <c r="G185" s="14" t="s">
        <v>736</v>
      </c>
      <c r="H185" t="s">
        <v>1615</v>
      </c>
      <c r="I185" t="str">
        <f t="shared" si="2"/>
        <v>PL2_4227_433_AIT_0145_AAH</v>
      </c>
      <c r="J185" t="s">
        <v>1602</v>
      </c>
      <c r="K185" t="s">
        <v>632</v>
      </c>
      <c r="M185" t="s">
        <v>72</v>
      </c>
      <c r="N185" t="str">
        <f>_xlfn.CONCAT(A185, ",", B185, ",", I185, ",""", J185, """,""", K185, """,""", L185, """,""", M185, """")</f>
        <v>TAG,,PL2_4227_433_AIT_0145_AAH,"BNR Train No. 2 Post Grid 5 High Dissolved Oxygen","fbDigital","","(Constant := false, ExternalAccess := Read/Write)"</v>
      </c>
    </row>
    <row r="186" spans="1:14" x14ac:dyDescent="0.25">
      <c r="A186" t="s">
        <v>35</v>
      </c>
      <c r="C186" t="s">
        <v>639</v>
      </c>
      <c r="D186" s="14">
        <v>4227</v>
      </c>
      <c r="E186" s="14" t="s">
        <v>720</v>
      </c>
      <c r="F186" t="s">
        <v>712</v>
      </c>
      <c r="G186" s="14" t="s">
        <v>736</v>
      </c>
      <c r="H186" t="s">
        <v>1616</v>
      </c>
      <c r="I186" t="str">
        <f t="shared" si="2"/>
        <v>PL2_4227_433_AIT_0145_AAL</v>
      </c>
      <c r="J186" t="s">
        <v>1611</v>
      </c>
      <c r="K186" t="s">
        <v>632</v>
      </c>
      <c r="M186" t="s">
        <v>72</v>
      </c>
      <c r="N186" t="str">
        <f>_xlfn.CONCAT(A186, ",", B186, ",", I186, ",""", J186, """,""", K186, """,""", L186, """,""", M186, """")</f>
        <v>TAG,,PL2_4227_433_AIT_0145_AAL,"BNR Train No. 2 Post Grid 5 Low Dissolved Oxygen","fbDigital","","(Constant := false, ExternalAccess := Read/Write)"</v>
      </c>
    </row>
    <row r="187" spans="1:14" x14ac:dyDescent="0.25">
      <c r="A187" t="s">
        <v>35</v>
      </c>
      <c r="C187" t="s">
        <v>639</v>
      </c>
      <c r="D187" s="14">
        <v>4227</v>
      </c>
      <c r="E187" s="14" t="s">
        <v>720</v>
      </c>
      <c r="F187" t="s">
        <v>712</v>
      </c>
      <c r="G187" s="14" t="s">
        <v>736</v>
      </c>
      <c r="H187" t="s">
        <v>6</v>
      </c>
      <c r="I187" t="str">
        <f t="shared" si="2"/>
        <v>PL2_4227_433_AIT_0145_DO</v>
      </c>
      <c r="J187" t="s">
        <v>731</v>
      </c>
      <c r="K187" t="s">
        <v>631</v>
      </c>
      <c r="M187" t="s">
        <v>72</v>
      </c>
      <c r="N187" t="str">
        <f>_xlfn.CONCAT(A187, ",", B187, ",", I187, ",""", J187, """,""", K187, """,""", L187, """,""", M187, """")</f>
        <v>TAG,,PL2_4227_433_AIT_0145_DO,"BNR Train No. 2 DO Post Grid 5","fbAnalog","","(Constant := false, ExternalAccess := Read/Write)"</v>
      </c>
    </row>
    <row r="188" spans="1:14" x14ac:dyDescent="0.25">
      <c r="A188" t="s">
        <v>35</v>
      </c>
      <c r="C188" t="s">
        <v>639</v>
      </c>
      <c r="D188" s="14">
        <v>4227</v>
      </c>
      <c r="E188" s="14" t="s">
        <v>720</v>
      </c>
      <c r="F188" t="s">
        <v>712</v>
      </c>
      <c r="G188" s="14" t="s">
        <v>737</v>
      </c>
      <c r="H188" t="s">
        <v>1615</v>
      </c>
      <c r="I188" t="str">
        <f t="shared" si="2"/>
        <v>PL2_4227_433_AIT_0151_AAH</v>
      </c>
      <c r="J188" t="s">
        <v>1603</v>
      </c>
      <c r="K188" t="s">
        <v>632</v>
      </c>
      <c r="M188" t="s">
        <v>72</v>
      </c>
      <c r="N188" t="str">
        <f>_xlfn.CONCAT(A188, ",", B188, ",", I188, ",""", J188, """,""", K188, """,""", L188, """,""", M188, """")</f>
        <v>TAG,,PL2_4227_433_AIT_0151_AAH,"BNR Train No. 3 Post Grid 1 High Dissolved Oxygen","fbDigital","","(Constant := false, ExternalAccess := Read/Write)"</v>
      </c>
    </row>
    <row r="189" spans="1:14" x14ac:dyDescent="0.25">
      <c r="A189" t="s">
        <v>35</v>
      </c>
      <c r="C189" t="s">
        <v>639</v>
      </c>
      <c r="D189" s="14">
        <v>4227</v>
      </c>
      <c r="E189" s="14" t="s">
        <v>720</v>
      </c>
      <c r="F189" t="s">
        <v>712</v>
      </c>
      <c r="G189" s="14" t="s">
        <v>737</v>
      </c>
      <c r="H189" t="s">
        <v>1616</v>
      </c>
      <c r="I189" t="str">
        <f t="shared" si="2"/>
        <v>PL2_4227_433_AIT_0151_AAL</v>
      </c>
      <c r="J189" t="s">
        <v>1612</v>
      </c>
      <c r="K189" t="s">
        <v>632</v>
      </c>
      <c r="M189" t="s">
        <v>72</v>
      </c>
      <c r="N189" t="str">
        <f>_xlfn.CONCAT(A189, ",", B189, ",", I189, ",""", J189, """,""", K189, """,""", L189, """,""", M189, """")</f>
        <v>TAG,,PL2_4227_433_AIT_0151_AAL,"BNR Train No. 3 Post Grid 1 Low Dissolved Oxygen","fbDigital","","(Constant := false, ExternalAccess := Read/Write)"</v>
      </c>
    </row>
    <row r="190" spans="1:14" x14ac:dyDescent="0.25">
      <c r="A190" t="s">
        <v>35</v>
      </c>
      <c r="C190" t="s">
        <v>639</v>
      </c>
      <c r="D190" s="14">
        <v>4227</v>
      </c>
      <c r="E190" s="14" t="s">
        <v>720</v>
      </c>
      <c r="F190" t="s">
        <v>712</v>
      </c>
      <c r="G190" s="14" t="s">
        <v>737</v>
      </c>
      <c r="H190" t="s">
        <v>6</v>
      </c>
      <c r="I190" t="str">
        <f t="shared" si="2"/>
        <v>PL2_4227_433_AIT_0151_DO</v>
      </c>
      <c r="J190" t="s">
        <v>728</v>
      </c>
      <c r="K190" t="s">
        <v>631</v>
      </c>
      <c r="M190" t="s">
        <v>72</v>
      </c>
      <c r="N190" t="str">
        <f>_xlfn.CONCAT(A190, ",", B190, ",", I190, ",""", J190, """,""", K190, """,""", L190, """,""", M190, """")</f>
        <v>TAG,,PL2_4227_433_AIT_0151_DO,"BNR Train No. 3 DO Post Grid 1","fbAnalog","","(Constant := false, ExternalAccess := Read/Write)"</v>
      </c>
    </row>
    <row r="191" spans="1:14" x14ac:dyDescent="0.25">
      <c r="A191" t="s">
        <v>35</v>
      </c>
      <c r="C191" t="s">
        <v>639</v>
      </c>
      <c r="D191" s="14">
        <v>4227</v>
      </c>
      <c r="E191" s="14" t="s">
        <v>720</v>
      </c>
      <c r="F191" t="s">
        <v>712</v>
      </c>
      <c r="G191" s="14" t="s">
        <v>738</v>
      </c>
      <c r="H191" t="s">
        <v>1615</v>
      </c>
      <c r="I191" t="str">
        <f t="shared" si="2"/>
        <v>PL2_4227_433_AIT_0153_AAH</v>
      </c>
      <c r="J191" t="s">
        <v>1604</v>
      </c>
      <c r="K191" t="s">
        <v>632</v>
      </c>
      <c r="M191" t="s">
        <v>72</v>
      </c>
      <c r="N191" t="str">
        <f>_xlfn.CONCAT(A191, ",", B191, ",", I191, ",""", J191, """,""", K191, """,""", L191, """,""", M191, """")</f>
        <v>TAG,,PL2_4227_433_AIT_0153_AAH,"BNR Train No. 3 Post Grid 3 High Dissolved Oxygen","fbDigital","","(Constant := false, ExternalAccess := Read/Write)"</v>
      </c>
    </row>
    <row r="192" spans="1:14" x14ac:dyDescent="0.25">
      <c r="A192" t="s">
        <v>35</v>
      </c>
      <c r="C192" t="s">
        <v>639</v>
      </c>
      <c r="D192" s="14">
        <v>4227</v>
      </c>
      <c r="E192" s="14" t="s">
        <v>720</v>
      </c>
      <c r="F192" t="s">
        <v>712</v>
      </c>
      <c r="G192" s="14" t="s">
        <v>738</v>
      </c>
      <c r="H192" t="s">
        <v>1616</v>
      </c>
      <c r="I192" t="str">
        <f t="shared" si="2"/>
        <v>PL2_4227_433_AIT_0153_AAL</v>
      </c>
      <c r="J192" t="s">
        <v>1613</v>
      </c>
      <c r="K192" t="s">
        <v>632</v>
      </c>
      <c r="M192" t="s">
        <v>72</v>
      </c>
      <c r="N192" t="str">
        <f>_xlfn.CONCAT(A192, ",", B192, ",", I192, ",""", J192, """,""", K192, """,""", L192, """,""", M192, """")</f>
        <v>TAG,,PL2_4227_433_AIT_0153_AAL,"BNR Train No. 3 Post Grid 3 Low Dissolved Oxygen","fbDigital","","(Constant := false, ExternalAccess := Read/Write)"</v>
      </c>
    </row>
    <row r="193" spans="1:14" x14ac:dyDescent="0.25">
      <c r="A193" t="s">
        <v>35</v>
      </c>
      <c r="C193" t="s">
        <v>639</v>
      </c>
      <c r="D193" s="14">
        <v>4227</v>
      </c>
      <c r="E193" s="14" t="s">
        <v>720</v>
      </c>
      <c r="F193" t="s">
        <v>712</v>
      </c>
      <c r="G193" s="14" t="s">
        <v>738</v>
      </c>
      <c r="H193" t="s">
        <v>6</v>
      </c>
      <c r="I193" t="str">
        <f t="shared" si="2"/>
        <v>PL2_4227_433_AIT_0153_DO</v>
      </c>
      <c r="J193" t="s">
        <v>729</v>
      </c>
      <c r="K193" t="s">
        <v>631</v>
      </c>
      <c r="M193" t="s">
        <v>72</v>
      </c>
      <c r="N193" t="str">
        <f>_xlfn.CONCAT(A193, ",", B193, ",", I193, ",""", J193, """,""", K193, """,""", L193, """,""", M193, """")</f>
        <v>TAG,,PL2_4227_433_AIT_0153_DO,"BNR Train No. 3 DO Post Grid 3","fbAnalog","","(Constant := false, ExternalAccess := Read/Write)"</v>
      </c>
    </row>
    <row r="194" spans="1:14" x14ac:dyDescent="0.25">
      <c r="A194" t="s">
        <v>35</v>
      </c>
      <c r="C194" t="s">
        <v>639</v>
      </c>
      <c r="D194" s="14">
        <v>4227</v>
      </c>
      <c r="E194" s="14" t="s">
        <v>720</v>
      </c>
      <c r="F194" t="s">
        <v>712</v>
      </c>
      <c r="G194" s="14" t="s">
        <v>739</v>
      </c>
      <c r="H194" t="s">
        <v>1615</v>
      </c>
      <c r="I194" t="str">
        <f t="shared" si="2"/>
        <v>PL2_4227_433_AIT_0155_AAH</v>
      </c>
      <c r="J194" t="s">
        <v>1605</v>
      </c>
      <c r="K194" t="s">
        <v>632</v>
      </c>
      <c r="M194" t="s">
        <v>72</v>
      </c>
      <c r="N194" t="str">
        <f>_xlfn.CONCAT(A194, ",", B194, ",", I194, ",""", J194, """,""", K194, """,""", L194, """,""", M194, """")</f>
        <v>TAG,,PL2_4227_433_AIT_0155_AAH,"BNR Train No. 3 Post Grid 5 High Dissolved Oxygen","fbDigital","","(Constant := false, ExternalAccess := Read/Write)"</v>
      </c>
    </row>
    <row r="195" spans="1:14" x14ac:dyDescent="0.25">
      <c r="A195" t="s">
        <v>35</v>
      </c>
      <c r="C195" t="s">
        <v>639</v>
      </c>
      <c r="D195" s="14">
        <v>4227</v>
      </c>
      <c r="E195" s="14" t="s">
        <v>720</v>
      </c>
      <c r="F195" t="s">
        <v>712</v>
      </c>
      <c r="G195" s="14" t="s">
        <v>739</v>
      </c>
      <c r="H195" t="s">
        <v>1616</v>
      </c>
      <c r="I195" t="str">
        <f t="shared" ref="I195:I258" si="3">_xlfn.CONCAT(C195,"_",D195,"_",_xlfn.CONCAT(E195, "_"),F195,"_",G195, IF(ISBLANK(H195), "", _xlfn.CONCAT("_",H195)))</f>
        <v>PL2_4227_433_AIT_0155_AAL</v>
      </c>
      <c r="J195" t="s">
        <v>1614</v>
      </c>
      <c r="K195" t="s">
        <v>632</v>
      </c>
      <c r="M195" t="s">
        <v>72</v>
      </c>
      <c r="N195" t="str">
        <f>_xlfn.CONCAT(A195, ",", B195, ",", I195, ",""", J195, """,""", K195, """,""", L195, """,""", M195, """")</f>
        <v>TAG,,PL2_4227_433_AIT_0155_AAL,"BNR Train No. 3 Post Grid 5 Low Dissolved Oxygen","fbDigital","","(Constant := false, ExternalAccess := Read/Write)"</v>
      </c>
    </row>
    <row r="196" spans="1:14" x14ac:dyDescent="0.25">
      <c r="A196" t="s">
        <v>35</v>
      </c>
      <c r="C196" t="s">
        <v>639</v>
      </c>
      <c r="D196" s="14">
        <v>4227</v>
      </c>
      <c r="E196" s="14" t="s">
        <v>720</v>
      </c>
      <c r="F196" t="s">
        <v>712</v>
      </c>
      <c r="G196" s="14" t="s">
        <v>739</v>
      </c>
      <c r="H196" t="s">
        <v>6</v>
      </c>
      <c r="I196" t="str">
        <f t="shared" si="3"/>
        <v>PL2_4227_433_AIT_0155_DO</v>
      </c>
      <c r="J196" t="s">
        <v>730</v>
      </c>
      <c r="K196" t="s">
        <v>631</v>
      </c>
      <c r="M196" t="s">
        <v>72</v>
      </c>
      <c r="N196" t="str">
        <f>_xlfn.CONCAT(A196, ",", B196, ",", I196, ",""", J196, """,""", K196, """,""", L196, """,""", M196, """")</f>
        <v>TAG,,PL2_4227_433_AIT_0155_DO,"BNR Train No. 3 DO Post Grid 5","fbAnalog","","(Constant := false, ExternalAccess := Read/Write)"</v>
      </c>
    </row>
    <row r="197" spans="1:14" x14ac:dyDescent="0.25">
      <c r="A197" t="s">
        <v>35</v>
      </c>
      <c r="C197" t="s">
        <v>639</v>
      </c>
      <c r="D197" s="14">
        <v>4227</v>
      </c>
      <c r="E197" s="14" t="s">
        <v>741</v>
      </c>
      <c r="F197" t="s">
        <v>712</v>
      </c>
      <c r="G197" s="14" t="s">
        <v>743</v>
      </c>
      <c r="H197" t="s">
        <v>745</v>
      </c>
      <c r="I197" t="str">
        <f t="shared" si="3"/>
        <v>PL2_4227_450_AIT_0063_PH</v>
      </c>
      <c r="J197" t="s">
        <v>747</v>
      </c>
      <c r="K197" t="s">
        <v>631</v>
      </c>
      <c r="M197" t="s">
        <v>72</v>
      </c>
      <c r="N197" t="str">
        <f>_xlfn.CONCAT(A197, ",", B197, ",", I197, ",""", J197, """,""", K197, """,""", L197, """,""", M197, """")</f>
        <v>TAG,,PL2_4227_450_AIT_0063_PH,"BNR Effluent Channel pH","fbAnalog","","(Constant := false, ExternalAccess := Read/Write)"</v>
      </c>
    </row>
    <row r="198" spans="1:14" x14ac:dyDescent="0.25">
      <c r="A198" t="s">
        <v>35</v>
      </c>
      <c r="C198" t="s">
        <v>639</v>
      </c>
      <c r="D198" s="14">
        <v>4227</v>
      </c>
      <c r="E198" s="14" t="s">
        <v>711</v>
      </c>
      <c r="F198" t="s">
        <v>712</v>
      </c>
      <c r="G198" s="14" t="s">
        <v>713</v>
      </c>
      <c r="H198" t="s">
        <v>714</v>
      </c>
      <c r="I198" t="str">
        <f t="shared" si="3"/>
        <v>PL2_4227_463_AIT_0139_TSS</v>
      </c>
      <c r="J198" t="s">
        <v>715</v>
      </c>
      <c r="K198" t="s">
        <v>631</v>
      </c>
      <c r="M198" t="s">
        <v>72</v>
      </c>
      <c r="N198" t="str">
        <f>_xlfn.CONCAT(A198, ",", B198, ",", I198, ",""", J198, """,""", K198, """,""", L198, """,""", M198, """")</f>
        <v>TAG,,PL2_4227_463_AIT_0139_TSS,"BNR Train No. 1 TSS","fbAnalog","","(Constant := false, ExternalAccess := Read/Write)"</v>
      </c>
    </row>
    <row r="199" spans="1:14" x14ac:dyDescent="0.25">
      <c r="A199" t="s">
        <v>35</v>
      </c>
      <c r="C199" t="s">
        <v>639</v>
      </c>
      <c r="D199" s="14">
        <v>4227</v>
      </c>
      <c r="E199" s="14" t="s">
        <v>711</v>
      </c>
      <c r="F199" t="s">
        <v>712</v>
      </c>
      <c r="G199" s="14" t="s">
        <v>716</v>
      </c>
      <c r="H199" t="s">
        <v>714</v>
      </c>
      <c r="I199" t="str">
        <f t="shared" si="3"/>
        <v>PL2_4227_463_AIT_0149_TSS</v>
      </c>
      <c r="J199" t="s">
        <v>718</v>
      </c>
      <c r="K199" t="s">
        <v>631</v>
      </c>
      <c r="M199" t="s">
        <v>72</v>
      </c>
      <c r="N199" t="str">
        <f>_xlfn.CONCAT(A199, ",", B199, ",", I199, ",""", J199, """,""", K199, """,""", L199, """,""", M199, """")</f>
        <v>TAG,,PL2_4227_463_AIT_0149_TSS,"BNR Train No. 2 TSS","fbAnalog","","(Constant := false, ExternalAccess := Read/Write)"</v>
      </c>
    </row>
    <row r="200" spans="1:14" x14ac:dyDescent="0.25">
      <c r="A200" t="s">
        <v>35</v>
      </c>
      <c r="C200" t="s">
        <v>639</v>
      </c>
      <c r="D200" s="14">
        <v>4227</v>
      </c>
      <c r="E200" s="14" t="s">
        <v>711</v>
      </c>
      <c r="F200" t="s">
        <v>712</v>
      </c>
      <c r="G200" s="14" t="s">
        <v>717</v>
      </c>
      <c r="H200" t="s">
        <v>714</v>
      </c>
      <c r="I200" t="str">
        <f t="shared" si="3"/>
        <v>PL2_4227_463_AIT_0159_TSS</v>
      </c>
      <c r="J200" t="s">
        <v>719</v>
      </c>
      <c r="K200" t="s">
        <v>631</v>
      </c>
      <c r="M200" t="s">
        <v>72</v>
      </c>
      <c r="N200" t="str">
        <f>_xlfn.CONCAT(A200, ",", B200, ",", I200, ",""", J200, """,""", K200, """,""", L200, """,""", M200, """")</f>
        <v>TAG,,PL2_4227_463_AIT_0159_TSS,"BNR Train No. 3 TSS","fbAnalog","","(Constant := false, ExternalAccess := Read/Write)"</v>
      </c>
    </row>
    <row r="201" spans="1:14" x14ac:dyDescent="0.25">
      <c r="A201" t="s">
        <v>35</v>
      </c>
      <c r="C201" t="s">
        <v>639</v>
      </c>
      <c r="D201" s="14">
        <v>4227</v>
      </c>
      <c r="E201" s="14">
        <v>498</v>
      </c>
      <c r="F201" t="s">
        <v>641</v>
      </c>
      <c r="G201" s="14" t="s">
        <v>721</v>
      </c>
      <c r="I201" t="str">
        <f t="shared" si="3"/>
        <v>PL2_4227_498_FIT_0131</v>
      </c>
      <c r="J201" t="s">
        <v>1183</v>
      </c>
      <c r="K201" t="s">
        <v>631</v>
      </c>
      <c r="M201" t="s">
        <v>72</v>
      </c>
      <c r="N201" t="str">
        <f>_xlfn.CONCAT(A201, ",", B201, ",", I201, ",""", J201, """,""", K201, """,""", L201, """,""", M201, """")</f>
        <v>TAG,,PL2_4227_498_FIT_0131,"BNR Grid 1-1 Flow","fbAnalog","","(Constant := false, ExternalAccess := Read/Write)"</v>
      </c>
    </row>
    <row r="202" spans="1:14" x14ac:dyDescent="0.25">
      <c r="A202" t="s">
        <v>35</v>
      </c>
      <c r="C202" t="s">
        <v>639</v>
      </c>
      <c r="D202" s="14">
        <v>4227</v>
      </c>
      <c r="E202" s="14">
        <v>498</v>
      </c>
      <c r="F202" t="s">
        <v>641</v>
      </c>
      <c r="G202" s="14" t="s">
        <v>721</v>
      </c>
      <c r="H202" t="s">
        <v>1434</v>
      </c>
      <c r="I202" t="str">
        <f t="shared" si="3"/>
        <v>PL2_4227_498_FIT_0131_FAH</v>
      </c>
      <c r="J202" t="s">
        <v>1438</v>
      </c>
      <c r="K202" t="s">
        <v>632</v>
      </c>
      <c r="M202" t="s">
        <v>72</v>
      </c>
      <c r="N202" t="str">
        <f>_xlfn.CONCAT(A202, ",", B202, ",", I202, ",""", J202, """,""", K202, """,""", L202, """,""", M202, """")</f>
        <v>TAG,,PL2_4227_498_FIT_0131_FAH,"BNR Grid 1-1 High Air Flow","fbDigital","","(Constant := false, ExternalAccess := Read/Write)"</v>
      </c>
    </row>
    <row r="203" spans="1:14" x14ac:dyDescent="0.25">
      <c r="A203" t="s">
        <v>35</v>
      </c>
      <c r="C203" t="s">
        <v>639</v>
      </c>
      <c r="D203" s="14">
        <v>4227</v>
      </c>
      <c r="E203" s="14">
        <v>498</v>
      </c>
      <c r="F203" t="s">
        <v>641</v>
      </c>
      <c r="G203" s="14" t="s">
        <v>721</v>
      </c>
      <c r="H203" t="s">
        <v>1435</v>
      </c>
      <c r="I203" t="str">
        <f t="shared" si="3"/>
        <v>PL2_4227_498_FIT_0131_FAL</v>
      </c>
      <c r="J203" t="s">
        <v>1467</v>
      </c>
      <c r="K203" t="s">
        <v>632</v>
      </c>
      <c r="M203" t="s">
        <v>72</v>
      </c>
      <c r="N203" t="str">
        <f>_xlfn.CONCAT(A203, ",", B203, ",", I203, ",""", J203, """,""", K203, """,""", L203, """,""", M203, """")</f>
        <v>TAG,,PL2_4227_498_FIT_0131_FAL,"BNR Grid 1-1 Low Air Flow","fbDigital","","(Constant := false, ExternalAccess := Read/Write)"</v>
      </c>
    </row>
    <row r="204" spans="1:14" x14ac:dyDescent="0.25">
      <c r="A204" t="s">
        <v>35</v>
      </c>
      <c r="C204" t="s">
        <v>639</v>
      </c>
      <c r="D204" s="14">
        <v>4227</v>
      </c>
      <c r="E204" s="14">
        <v>498</v>
      </c>
      <c r="F204" t="s">
        <v>641</v>
      </c>
      <c r="G204" s="14" t="s">
        <v>721</v>
      </c>
      <c r="H204" t="s">
        <v>1239</v>
      </c>
      <c r="I204" t="str">
        <f t="shared" si="3"/>
        <v>PL2_4227_498_FIT_0131_LOS</v>
      </c>
      <c r="J204" t="s">
        <v>1224</v>
      </c>
      <c r="K204" t="s">
        <v>632</v>
      </c>
      <c r="M204" t="s">
        <v>72</v>
      </c>
      <c r="N204" t="str">
        <f>_xlfn.CONCAT(A204, ",", B204, ",", I204, ",""", J204, """,""", K204, """,""", L204, """,""", M204, """")</f>
        <v>TAG,,PL2_4227_498_FIT_0131_LOS,"BNR Grid 1-1 Flow Meter LOS","fbDigital","","(Constant := false, ExternalAccess := Read/Write)"</v>
      </c>
    </row>
    <row r="205" spans="1:14" x14ac:dyDescent="0.25">
      <c r="A205" t="s">
        <v>35</v>
      </c>
      <c r="C205" t="s">
        <v>639</v>
      </c>
      <c r="D205" s="14">
        <v>4227</v>
      </c>
      <c r="E205" s="14">
        <v>498</v>
      </c>
      <c r="F205" t="s">
        <v>641</v>
      </c>
      <c r="G205" s="14" t="s">
        <v>1198</v>
      </c>
      <c r="I205" t="str">
        <f t="shared" si="3"/>
        <v>PL2_4227_498_FIT_0132</v>
      </c>
      <c r="J205" t="s">
        <v>1184</v>
      </c>
      <c r="K205" t="s">
        <v>631</v>
      </c>
      <c r="M205" t="s">
        <v>72</v>
      </c>
      <c r="N205" t="str">
        <f>_xlfn.CONCAT(A205, ",", B205, ",", I205, ",""", J205, """,""", K205, """,""", L205, """,""", M205, """")</f>
        <v>TAG,,PL2_4227_498_FIT_0132,"BNR Grid 1-2 Flow","fbAnalog","","(Constant := false, ExternalAccess := Read/Write)"</v>
      </c>
    </row>
    <row r="206" spans="1:14" x14ac:dyDescent="0.25">
      <c r="A206" t="s">
        <v>35</v>
      </c>
      <c r="C206" t="s">
        <v>639</v>
      </c>
      <c r="D206" s="14">
        <v>4227</v>
      </c>
      <c r="E206" s="14">
        <v>498</v>
      </c>
      <c r="F206" t="s">
        <v>641</v>
      </c>
      <c r="G206" s="14" t="s">
        <v>1198</v>
      </c>
      <c r="H206" t="s">
        <v>1434</v>
      </c>
      <c r="I206" t="str">
        <f t="shared" si="3"/>
        <v>PL2_4227_498_FIT_0132_FAH</v>
      </c>
      <c r="J206" t="s">
        <v>1452</v>
      </c>
      <c r="K206" t="s">
        <v>632</v>
      </c>
      <c r="M206" t="s">
        <v>72</v>
      </c>
      <c r="N206" t="str">
        <f>_xlfn.CONCAT(A206, ",", B206, ",", I206, ",""", J206, """,""", K206, """,""", L206, """,""", M206, """")</f>
        <v>TAG,,PL2_4227_498_FIT_0132_FAH,"BNR Grid 1-2 High Air Flow","fbDigital","","(Constant := false, ExternalAccess := Read/Write)"</v>
      </c>
    </row>
    <row r="207" spans="1:14" x14ac:dyDescent="0.25">
      <c r="A207" t="s">
        <v>35</v>
      </c>
      <c r="C207" t="s">
        <v>639</v>
      </c>
      <c r="D207" s="14">
        <v>4227</v>
      </c>
      <c r="E207" s="14">
        <v>498</v>
      </c>
      <c r="F207" t="s">
        <v>641</v>
      </c>
      <c r="G207" s="14" t="s">
        <v>1198</v>
      </c>
      <c r="H207" t="s">
        <v>1435</v>
      </c>
      <c r="I207" t="str">
        <f t="shared" si="3"/>
        <v>PL2_4227_498_FIT_0132_FAL</v>
      </c>
      <c r="J207" t="s">
        <v>1453</v>
      </c>
      <c r="K207" t="s">
        <v>632</v>
      </c>
      <c r="M207" t="s">
        <v>72</v>
      </c>
      <c r="N207" t="str">
        <f>_xlfn.CONCAT(A207, ",", B207, ",", I207, ",""", J207, """,""", K207, """,""", L207, """,""", M207, """")</f>
        <v>TAG,,PL2_4227_498_FIT_0132_FAL,"BNR Grid 1-2 Low Air Flow","fbDigital","","(Constant := false, ExternalAccess := Read/Write)"</v>
      </c>
    </row>
    <row r="208" spans="1:14" x14ac:dyDescent="0.25">
      <c r="A208" t="s">
        <v>35</v>
      </c>
      <c r="C208" t="s">
        <v>639</v>
      </c>
      <c r="D208" s="14">
        <v>4227</v>
      </c>
      <c r="E208" s="14">
        <v>498</v>
      </c>
      <c r="F208" t="s">
        <v>641</v>
      </c>
      <c r="G208" s="14" t="s">
        <v>1198</v>
      </c>
      <c r="H208" t="s">
        <v>1239</v>
      </c>
      <c r="I208" t="str">
        <f t="shared" si="3"/>
        <v>PL2_4227_498_FIT_0132_LOS</v>
      </c>
      <c r="J208" t="s">
        <v>1225</v>
      </c>
      <c r="K208" t="s">
        <v>632</v>
      </c>
      <c r="M208" t="s">
        <v>72</v>
      </c>
      <c r="N208" t="str">
        <f>_xlfn.CONCAT(A208, ",", B208, ",", I208, ",""", J208, """,""", K208, """,""", L208, """,""", M208, """")</f>
        <v>TAG,,PL2_4227_498_FIT_0132_LOS,"BNR Grid 1-2 Flow Meter LOS","fbDigital","","(Constant := false, ExternalAccess := Read/Write)"</v>
      </c>
    </row>
    <row r="209" spans="1:14" x14ac:dyDescent="0.25">
      <c r="A209" t="s">
        <v>35</v>
      </c>
      <c r="C209" t="s">
        <v>639</v>
      </c>
      <c r="D209" s="14">
        <v>4227</v>
      </c>
      <c r="E209" s="14">
        <v>498</v>
      </c>
      <c r="F209" t="s">
        <v>641</v>
      </c>
      <c r="G209" s="14" t="s">
        <v>722</v>
      </c>
      <c r="I209" t="str">
        <f t="shared" si="3"/>
        <v>PL2_4227_498_FIT_0133</v>
      </c>
      <c r="J209" t="s">
        <v>1185</v>
      </c>
      <c r="K209" t="s">
        <v>631</v>
      </c>
      <c r="M209" t="s">
        <v>72</v>
      </c>
      <c r="N209" t="str">
        <f>_xlfn.CONCAT(A209, ",", B209, ",", I209, ",""", J209, """,""", K209, """,""", L209, """,""", M209, """")</f>
        <v>TAG,,PL2_4227_498_FIT_0133,"BNR Grid 1-3 Flow","fbAnalog","","(Constant := false, ExternalAccess := Read/Write)"</v>
      </c>
    </row>
    <row r="210" spans="1:14" x14ac:dyDescent="0.25">
      <c r="A210" t="s">
        <v>35</v>
      </c>
      <c r="C210" t="s">
        <v>639</v>
      </c>
      <c r="D210" s="14">
        <v>4227</v>
      </c>
      <c r="E210" s="14">
        <v>498</v>
      </c>
      <c r="F210" t="s">
        <v>641</v>
      </c>
      <c r="G210" s="14" t="s">
        <v>722</v>
      </c>
      <c r="H210" t="s">
        <v>1434</v>
      </c>
      <c r="I210" t="str">
        <f t="shared" si="3"/>
        <v>PL2_4227_498_FIT_0133_FAH</v>
      </c>
      <c r="J210" t="s">
        <v>1451</v>
      </c>
      <c r="K210" t="s">
        <v>632</v>
      </c>
      <c r="M210" t="s">
        <v>72</v>
      </c>
      <c r="N210" t="str">
        <f>_xlfn.CONCAT(A210, ",", B210, ",", I210, ",""", J210, """,""", K210, """,""", L210, """,""", M210, """")</f>
        <v>TAG,,PL2_4227_498_FIT_0133_FAH,"BNR Grid 1-3 High Air Flow","fbDigital","","(Constant := false, ExternalAccess := Read/Write)"</v>
      </c>
    </row>
    <row r="211" spans="1:14" x14ac:dyDescent="0.25">
      <c r="A211" t="s">
        <v>35</v>
      </c>
      <c r="C211" t="s">
        <v>639</v>
      </c>
      <c r="D211" s="14">
        <v>4227</v>
      </c>
      <c r="E211" s="14">
        <v>498</v>
      </c>
      <c r="F211" t="s">
        <v>641</v>
      </c>
      <c r="G211" s="14" t="s">
        <v>722</v>
      </c>
      <c r="H211" t="s">
        <v>1435</v>
      </c>
      <c r="I211" t="str">
        <f t="shared" si="3"/>
        <v>PL2_4227_498_FIT_0133_FAL</v>
      </c>
      <c r="J211" t="s">
        <v>1454</v>
      </c>
      <c r="K211" t="s">
        <v>632</v>
      </c>
      <c r="M211" t="s">
        <v>72</v>
      </c>
      <c r="N211" t="str">
        <f>_xlfn.CONCAT(A211, ",", B211, ",", I211, ",""", J211, """,""", K211, """,""", L211, """,""", M211, """")</f>
        <v>TAG,,PL2_4227_498_FIT_0133_FAL,"BNR Grid 1-3 Low Air Flow","fbDigital","","(Constant := false, ExternalAccess := Read/Write)"</v>
      </c>
    </row>
    <row r="212" spans="1:14" x14ac:dyDescent="0.25">
      <c r="A212" t="s">
        <v>35</v>
      </c>
      <c r="C212" t="s">
        <v>639</v>
      </c>
      <c r="D212" s="14">
        <v>4227</v>
      </c>
      <c r="E212" s="14">
        <v>498</v>
      </c>
      <c r="F212" t="s">
        <v>641</v>
      </c>
      <c r="G212" s="14" t="s">
        <v>722</v>
      </c>
      <c r="H212" t="s">
        <v>1239</v>
      </c>
      <c r="I212" t="str">
        <f t="shared" si="3"/>
        <v>PL2_4227_498_FIT_0133_LOS</v>
      </c>
      <c r="J212" t="s">
        <v>1226</v>
      </c>
      <c r="K212" t="s">
        <v>632</v>
      </c>
      <c r="M212" t="s">
        <v>72</v>
      </c>
      <c r="N212" t="str">
        <f>_xlfn.CONCAT(A212, ",", B212, ",", I212, ",""", J212, """,""", K212, """,""", L212, """,""", M212, """")</f>
        <v>TAG,,PL2_4227_498_FIT_0133_LOS,"BNR Grid 1-3 Flow Meter LOS","fbDigital","","(Constant := false, ExternalAccess := Read/Write)"</v>
      </c>
    </row>
    <row r="213" spans="1:14" x14ac:dyDescent="0.25">
      <c r="A213" t="s">
        <v>35</v>
      </c>
      <c r="C213" t="s">
        <v>639</v>
      </c>
      <c r="D213" s="14">
        <v>4227</v>
      </c>
      <c r="E213" s="14">
        <v>498</v>
      </c>
      <c r="F213" t="s">
        <v>641</v>
      </c>
      <c r="G213" s="14" t="s">
        <v>1199</v>
      </c>
      <c r="I213" t="str">
        <f t="shared" si="3"/>
        <v>PL2_4227_498_FIT_0134</v>
      </c>
      <c r="J213" t="s">
        <v>1186</v>
      </c>
      <c r="K213" t="s">
        <v>631</v>
      </c>
      <c r="M213" t="s">
        <v>72</v>
      </c>
      <c r="N213" t="str">
        <f>_xlfn.CONCAT(A213, ",", B213, ",", I213, ",""", J213, """,""", K213, """,""", L213, """,""", M213, """")</f>
        <v>TAG,,PL2_4227_498_FIT_0134,"BNR Grid 1-4 Flow","fbAnalog","","(Constant := false, ExternalAccess := Read/Write)"</v>
      </c>
    </row>
    <row r="214" spans="1:14" x14ac:dyDescent="0.25">
      <c r="A214" t="s">
        <v>35</v>
      </c>
      <c r="C214" t="s">
        <v>639</v>
      </c>
      <c r="D214" s="14">
        <v>4227</v>
      </c>
      <c r="E214" s="14">
        <v>498</v>
      </c>
      <c r="F214" t="s">
        <v>641</v>
      </c>
      <c r="G214" s="14" t="s">
        <v>1199</v>
      </c>
      <c r="H214" t="s">
        <v>1434</v>
      </c>
      <c r="I214" t="str">
        <f t="shared" si="3"/>
        <v>PL2_4227_498_FIT_0134_FAH</v>
      </c>
      <c r="J214" t="s">
        <v>1450</v>
      </c>
      <c r="K214" t="s">
        <v>632</v>
      </c>
      <c r="M214" t="s">
        <v>72</v>
      </c>
      <c r="N214" t="str">
        <f>_xlfn.CONCAT(A214, ",", B214, ",", I214, ",""", J214, """,""", K214, """,""", L214, """,""", M214, """")</f>
        <v>TAG,,PL2_4227_498_FIT_0134_FAH,"BNR Grid 1-4 High Air Flow","fbDigital","","(Constant := false, ExternalAccess := Read/Write)"</v>
      </c>
    </row>
    <row r="215" spans="1:14" x14ac:dyDescent="0.25">
      <c r="A215" t="s">
        <v>35</v>
      </c>
      <c r="C215" t="s">
        <v>639</v>
      </c>
      <c r="D215" s="14">
        <v>4227</v>
      </c>
      <c r="E215" s="14">
        <v>498</v>
      </c>
      <c r="F215" t="s">
        <v>641</v>
      </c>
      <c r="G215" s="14" t="s">
        <v>1199</v>
      </c>
      <c r="H215" t="s">
        <v>1435</v>
      </c>
      <c r="I215" t="str">
        <f t="shared" si="3"/>
        <v>PL2_4227_498_FIT_0134_FAL</v>
      </c>
      <c r="J215" t="s">
        <v>1455</v>
      </c>
      <c r="K215" t="s">
        <v>632</v>
      </c>
      <c r="M215" t="s">
        <v>72</v>
      </c>
      <c r="N215" t="str">
        <f>_xlfn.CONCAT(A215, ",", B215, ",", I215, ",""", J215, """,""", K215, """,""", L215, """,""", M215, """")</f>
        <v>TAG,,PL2_4227_498_FIT_0134_FAL,"BNR Grid 1-4 Low Air Flow","fbDigital","","(Constant := false, ExternalAccess := Read/Write)"</v>
      </c>
    </row>
    <row r="216" spans="1:14" x14ac:dyDescent="0.25">
      <c r="A216" t="s">
        <v>35</v>
      </c>
      <c r="C216" t="s">
        <v>639</v>
      </c>
      <c r="D216" s="14">
        <v>4227</v>
      </c>
      <c r="E216" s="14">
        <v>498</v>
      </c>
      <c r="F216" t="s">
        <v>641</v>
      </c>
      <c r="G216" s="14" t="s">
        <v>1199</v>
      </c>
      <c r="H216" t="s">
        <v>1239</v>
      </c>
      <c r="I216" t="str">
        <f t="shared" si="3"/>
        <v>PL2_4227_498_FIT_0134_LOS</v>
      </c>
      <c r="J216" t="s">
        <v>1227</v>
      </c>
      <c r="K216" t="s">
        <v>632</v>
      </c>
      <c r="M216" t="s">
        <v>72</v>
      </c>
      <c r="N216" t="str">
        <f>_xlfn.CONCAT(A216, ",", B216, ",", I216, ",""", J216, """,""", K216, """,""", L216, """,""", M216, """")</f>
        <v>TAG,,PL2_4227_498_FIT_0134_LOS,"BNR Grid 1-4 Flow Meter LOS","fbDigital","","(Constant := false, ExternalAccess := Read/Write)"</v>
      </c>
    </row>
    <row r="217" spans="1:14" x14ac:dyDescent="0.25">
      <c r="A217" t="s">
        <v>35</v>
      </c>
      <c r="C217" t="s">
        <v>639</v>
      </c>
      <c r="D217" s="14">
        <v>4227</v>
      </c>
      <c r="E217" s="14">
        <v>498</v>
      </c>
      <c r="F217" t="s">
        <v>641</v>
      </c>
      <c r="G217" s="14" t="s">
        <v>723</v>
      </c>
      <c r="I217" t="str">
        <f t="shared" si="3"/>
        <v>PL2_4227_498_FIT_0135</v>
      </c>
      <c r="J217" t="s">
        <v>1187</v>
      </c>
      <c r="K217" t="s">
        <v>631</v>
      </c>
      <c r="M217" t="s">
        <v>72</v>
      </c>
      <c r="N217" t="str">
        <f>_xlfn.CONCAT(A217, ",", B217, ",", I217, ",""", J217, """,""", K217, """,""", L217, """,""", M217, """")</f>
        <v>TAG,,PL2_4227_498_FIT_0135,"BNR Grid 1-5 Flow","fbAnalog","","(Constant := false, ExternalAccess := Read/Write)"</v>
      </c>
    </row>
    <row r="218" spans="1:14" x14ac:dyDescent="0.25">
      <c r="A218" t="s">
        <v>35</v>
      </c>
      <c r="C218" t="s">
        <v>639</v>
      </c>
      <c r="D218" s="14">
        <v>4227</v>
      </c>
      <c r="E218" s="14">
        <v>498</v>
      </c>
      <c r="F218" t="s">
        <v>641</v>
      </c>
      <c r="G218" s="14" t="s">
        <v>723</v>
      </c>
      <c r="H218" t="s">
        <v>1434</v>
      </c>
      <c r="I218" t="str">
        <f t="shared" si="3"/>
        <v>PL2_4227_498_FIT_0135_FAH</v>
      </c>
      <c r="J218" t="s">
        <v>1449</v>
      </c>
      <c r="K218" t="s">
        <v>632</v>
      </c>
      <c r="M218" t="s">
        <v>72</v>
      </c>
      <c r="N218" t="str">
        <f>_xlfn.CONCAT(A218, ",", B218, ",", I218, ",""", J218, """,""", K218, """,""", L218, """,""", M218, """")</f>
        <v>TAG,,PL2_4227_498_FIT_0135_FAH,"BNR Grid 1-5 High Air Flow","fbDigital","","(Constant := false, ExternalAccess := Read/Write)"</v>
      </c>
    </row>
    <row r="219" spans="1:14" x14ac:dyDescent="0.25">
      <c r="A219" t="s">
        <v>35</v>
      </c>
      <c r="C219" t="s">
        <v>639</v>
      </c>
      <c r="D219" s="14">
        <v>4227</v>
      </c>
      <c r="E219" s="14">
        <v>498</v>
      </c>
      <c r="F219" t="s">
        <v>641</v>
      </c>
      <c r="G219" s="14" t="s">
        <v>723</v>
      </c>
      <c r="H219" t="s">
        <v>1435</v>
      </c>
      <c r="I219" t="str">
        <f t="shared" si="3"/>
        <v>PL2_4227_498_FIT_0135_FAL</v>
      </c>
      <c r="J219" t="s">
        <v>1456</v>
      </c>
      <c r="K219" t="s">
        <v>632</v>
      </c>
      <c r="M219" t="s">
        <v>72</v>
      </c>
      <c r="N219" t="str">
        <f>_xlfn.CONCAT(A219, ",", B219, ",", I219, ",""", J219, """,""", K219, """,""", L219, """,""", M219, """")</f>
        <v>TAG,,PL2_4227_498_FIT_0135_FAL,"BNR Grid 1-5 Low Air Flow","fbDigital","","(Constant := false, ExternalAccess := Read/Write)"</v>
      </c>
    </row>
    <row r="220" spans="1:14" x14ac:dyDescent="0.25">
      <c r="A220" t="s">
        <v>35</v>
      </c>
      <c r="C220" t="s">
        <v>639</v>
      </c>
      <c r="D220" s="14">
        <v>4227</v>
      </c>
      <c r="E220" s="14">
        <v>498</v>
      </c>
      <c r="F220" t="s">
        <v>641</v>
      </c>
      <c r="G220" s="14" t="s">
        <v>723</v>
      </c>
      <c r="H220" t="s">
        <v>1239</v>
      </c>
      <c r="I220" t="str">
        <f t="shared" si="3"/>
        <v>PL2_4227_498_FIT_0135_LOS</v>
      </c>
      <c r="J220" t="s">
        <v>1228</v>
      </c>
      <c r="K220" t="s">
        <v>632</v>
      </c>
      <c r="M220" t="s">
        <v>72</v>
      </c>
      <c r="N220" t="str">
        <f>_xlfn.CONCAT(A220, ",", B220, ",", I220, ",""", J220, """,""", K220, """,""", L220, """,""", M220, """")</f>
        <v>TAG,,PL2_4227_498_FIT_0135_LOS,"BNR Grid 1-5 Flow Meter LOS","fbDigital","","(Constant := false, ExternalAccess := Read/Write)"</v>
      </c>
    </row>
    <row r="221" spans="1:14" x14ac:dyDescent="0.25">
      <c r="A221" t="s">
        <v>35</v>
      </c>
      <c r="C221" t="s">
        <v>639</v>
      </c>
      <c r="D221" s="14">
        <v>4227</v>
      </c>
      <c r="E221" s="14">
        <v>498</v>
      </c>
      <c r="F221" t="s">
        <v>641</v>
      </c>
      <c r="G221" s="14" t="s">
        <v>734</v>
      </c>
      <c r="I221" t="str">
        <f t="shared" si="3"/>
        <v>PL2_4227_498_FIT_0141</v>
      </c>
      <c r="J221" t="s">
        <v>1188</v>
      </c>
      <c r="K221" t="s">
        <v>631</v>
      </c>
      <c r="M221" t="s">
        <v>72</v>
      </c>
      <c r="N221" t="str">
        <f>_xlfn.CONCAT(A221, ",", B221, ",", I221, ",""", J221, """,""", K221, """,""", L221, """,""", M221, """")</f>
        <v>TAG,,PL2_4227_498_FIT_0141,"BNR Grid 2-1 Flow","fbAnalog","","(Constant := false, ExternalAccess := Read/Write)"</v>
      </c>
    </row>
    <row r="222" spans="1:14" x14ac:dyDescent="0.25">
      <c r="A222" t="s">
        <v>35</v>
      </c>
      <c r="C222" t="s">
        <v>639</v>
      </c>
      <c r="D222" s="14">
        <v>4227</v>
      </c>
      <c r="E222" s="14">
        <v>498</v>
      </c>
      <c r="F222" t="s">
        <v>641</v>
      </c>
      <c r="G222" s="14" t="s">
        <v>734</v>
      </c>
      <c r="H222" t="s">
        <v>1434</v>
      </c>
      <c r="I222" t="str">
        <f t="shared" si="3"/>
        <v>PL2_4227_498_FIT_0141_FAH</v>
      </c>
      <c r="J222" t="s">
        <v>1448</v>
      </c>
      <c r="K222" t="s">
        <v>632</v>
      </c>
      <c r="M222" t="s">
        <v>72</v>
      </c>
      <c r="N222" t="str">
        <f>_xlfn.CONCAT(A222, ",", B222, ",", I222, ",""", J222, """,""", K222, """,""", L222, """,""", M222, """")</f>
        <v>TAG,,PL2_4227_498_FIT_0141_FAH,"BNR Grid 2-1 High Air Flow","fbDigital","","(Constant := false, ExternalAccess := Read/Write)"</v>
      </c>
    </row>
    <row r="223" spans="1:14" x14ac:dyDescent="0.25">
      <c r="A223" t="s">
        <v>35</v>
      </c>
      <c r="C223" t="s">
        <v>639</v>
      </c>
      <c r="D223" s="14">
        <v>4227</v>
      </c>
      <c r="E223" s="14">
        <v>498</v>
      </c>
      <c r="F223" t="s">
        <v>641</v>
      </c>
      <c r="G223" s="14" t="s">
        <v>734</v>
      </c>
      <c r="H223" t="s">
        <v>1435</v>
      </c>
      <c r="I223" t="str">
        <f t="shared" si="3"/>
        <v>PL2_4227_498_FIT_0141_FAL</v>
      </c>
      <c r="J223" t="s">
        <v>1457</v>
      </c>
      <c r="K223" t="s">
        <v>632</v>
      </c>
      <c r="M223" t="s">
        <v>72</v>
      </c>
      <c r="N223" t="str">
        <f>_xlfn.CONCAT(A223, ",", B223, ",", I223, ",""", J223, """,""", K223, """,""", L223, """,""", M223, """")</f>
        <v>TAG,,PL2_4227_498_FIT_0141_FAL,"BNR Grid 2-1 Low Air Flow","fbDigital","","(Constant := false, ExternalAccess := Read/Write)"</v>
      </c>
    </row>
    <row r="224" spans="1:14" x14ac:dyDescent="0.25">
      <c r="A224" t="s">
        <v>35</v>
      </c>
      <c r="C224" t="s">
        <v>639</v>
      </c>
      <c r="D224" s="14">
        <v>4227</v>
      </c>
      <c r="E224" s="14">
        <v>498</v>
      </c>
      <c r="F224" t="s">
        <v>641</v>
      </c>
      <c r="G224" s="14" t="s">
        <v>734</v>
      </c>
      <c r="H224" t="s">
        <v>1239</v>
      </c>
      <c r="I224" t="str">
        <f t="shared" si="3"/>
        <v>PL2_4227_498_FIT_0141_LOS</v>
      </c>
      <c r="J224" t="s">
        <v>1229</v>
      </c>
      <c r="K224" t="s">
        <v>632</v>
      </c>
      <c r="M224" t="s">
        <v>72</v>
      </c>
      <c r="N224" t="str">
        <f>_xlfn.CONCAT(A224, ",", B224, ",", I224, ",""", J224, """,""", K224, """,""", L224, """,""", M224, """")</f>
        <v>TAG,,PL2_4227_498_FIT_0141_LOS,"BNR Grid 2-1 Flow Meter LOS","fbDigital","","(Constant := false, ExternalAccess := Read/Write)"</v>
      </c>
    </row>
    <row r="225" spans="1:14" x14ac:dyDescent="0.25">
      <c r="A225" t="s">
        <v>35</v>
      </c>
      <c r="C225" t="s">
        <v>639</v>
      </c>
      <c r="D225" s="14">
        <v>4227</v>
      </c>
      <c r="E225" s="14">
        <v>498</v>
      </c>
      <c r="F225" t="s">
        <v>641</v>
      </c>
      <c r="G225" s="14" t="s">
        <v>1200</v>
      </c>
      <c r="I225" t="str">
        <f t="shared" si="3"/>
        <v>PL2_4227_498_FIT_0142</v>
      </c>
      <c r="J225" t="s">
        <v>1189</v>
      </c>
      <c r="K225" t="s">
        <v>631</v>
      </c>
      <c r="M225" t="s">
        <v>72</v>
      </c>
      <c r="N225" t="str">
        <f>_xlfn.CONCAT(A225, ",", B225, ",", I225, ",""", J225, """,""", K225, """,""", L225, """,""", M225, """")</f>
        <v>TAG,,PL2_4227_498_FIT_0142,"BNR Grid 2-2 Flow","fbAnalog","","(Constant := false, ExternalAccess := Read/Write)"</v>
      </c>
    </row>
    <row r="226" spans="1:14" x14ac:dyDescent="0.25">
      <c r="A226" t="s">
        <v>35</v>
      </c>
      <c r="C226" t="s">
        <v>639</v>
      </c>
      <c r="D226" s="14">
        <v>4227</v>
      </c>
      <c r="E226" s="14">
        <v>498</v>
      </c>
      <c r="F226" t="s">
        <v>641</v>
      </c>
      <c r="G226" s="14" t="s">
        <v>1200</v>
      </c>
      <c r="H226" t="s">
        <v>1434</v>
      </c>
      <c r="I226" t="str">
        <f t="shared" si="3"/>
        <v>PL2_4227_498_FIT_0142_FAH</v>
      </c>
      <c r="J226" t="s">
        <v>1447</v>
      </c>
      <c r="K226" t="s">
        <v>632</v>
      </c>
      <c r="M226" t="s">
        <v>72</v>
      </c>
      <c r="N226" t="str">
        <f>_xlfn.CONCAT(A226, ",", B226, ",", I226, ",""", J226, """,""", K226, """,""", L226, """,""", M226, """")</f>
        <v>TAG,,PL2_4227_498_FIT_0142_FAH,"BNR Grid 2-2 High Air Flow","fbDigital","","(Constant := false, ExternalAccess := Read/Write)"</v>
      </c>
    </row>
    <row r="227" spans="1:14" x14ac:dyDescent="0.25">
      <c r="A227" t="s">
        <v>35</v>
      </c>
      <c r="C227" t="s">
        <v>639</v>
      </c>
      <c r="D227" s="14">
        <v>4227</v>
      </c>
      <c r="E227" s="14">
        <v>498</v>
      </c>
      <c r="F227" t="s">
        <v>641</v>
      </c>
      <c r="G227" s="14" t="s">
        <v>1200</v>
      </c>
      <c r="H227" t="s">
        <v>1435</v>
      </c>
      <c r="I227" t="str">
        <f t="shared" si="3"/>
        <v>PL2_4227_498_FIT_0142_FAL</v>
      </c>
      <c r="J227" t="s">
        <v>1458</v>
      </c>
      <c r="K227" t="s">
        <v>632</v>
      </c>
      <c r="M227" t="s">
        <v>72</v>
      </c>
      <c r="N227" t="str">
        <f>_xlfn.CONCAT(A227, ",", B227, ",", I227, ",""", J227, """,""", K227, """,""", L227, """,""", M227, """")</f>
        <v>TAG,,PL2_4227_498_FIT_0142_FAL,"BNR Grid 2-2 Low Air Flow","fbDigital","","(Constant := false, ExternalAccess := Read/Write)"</v>
      </c>
    </row>
    <row r="228" spans="1:14" x14ac:dyDescent="0.25">
      <c r="A228" t="s">
        <v>35</v>
      </c>
      <c r="C228" t="s">
        <v>639</v>
      </c>
      <c r="D228" s="14">
        <v>4227</v>
      </c>
      <c r="E228" s="14">
        <v>498</v>
      </c>
      <c r="F228" t="s">
        <v>641</v>
      </c>
      <c r="G228" s="14" t="s">
        <v>1200</v>
      </c>
      <c r="H228" t="s">
        <v>1239</v>
      </c>
      <c r="I228" t="str">
        <f t="shared" si="3"/>
        <v>PL2_4227_498_FIT_0142_LOS</v>
      </c>
      <c r="J228" t="s">
        <v>1230</v>
      </c>
      <c r="K228" t="s">
        <v>632</v>
      </c>
      <c r="M228" t="s">
        <v>72</v>
      </c>
      <c r="N228" t="str">
        <f>_xlfn.CONCAT(A228, ",", B228, ",", I228, ",""", J228, """,""", K228, """,""", L228, """,""", M228, """")</f>
        <v>TAG,,PL2_4227_498_FIT_0142_LOS,"BNR Grid 2-2 Flow Meter LOS","fbDigital","","(Constant := false, ExternalAccess := Read/Write)"</v>
      </c>
    </row>
    <row r="229" spans="1:14" x14ac:dyDescent="0.25">
      <c r="A229" t="s">
        <v>35</v>
      </c>
      <c r="C229" t="s">
        <v>639</v>
      </c>
      <c r="D229" s="14">
        <v>4227</v>
      </c>
      <c r="E229" s="14">
        <v>498</v>
      </c>
      <c r="F229" t="s">
        <v>641</v>
      </c>
      <c r="G229" s="14" t="s">
        <v>735</v>
      </c>
      <c r="I229" t="str">
        <f t="shared" si="3"/>
        <v>PL2_4227_498_FIT_0143</v>
      </c>
      <c r="J229" t="s">
        <v>1190</v>
      </c>
      <c r="K229" t="s">
        <v>631</v>
      </c>
      <c r="M229" t="s">
        <v>72</v>
      </c>
      <c r="N229" t="str">
        <f>_xlfn.CONCAT(A229, ",", B229, ",", I229, ",""", J229, """,""", K229, """,""", L229, """,""", M229, """")</f>
        <v>TAG,,PL2_4227_498_FIT_0143,"BNR Grid 2-3 Flow","fbAnalog","","(Constant := false, ExternalAccess := Read/Write)"</v>
      </c>
    </row>
    <row r="230" spans="1:14" x14ac:dyDescent="0.25">
      <c r="A230" t="s">
        <v>35</v>
      </c>
      <c r="C230" t="s">
        <v>639</v>
      </c>
      <c r="D230" s="14">
        <v>4227</v>
      </c>
      <c r="E230" s="14">
        <v>498</v>
      </c>
      <c r="F230" t="s">
        <v>641</v>
      </c>
      <c r="G230" s="14" t="s">
        <v>735</v>
      </c>
      <c r="H230" t="s">
        <v>1434</v>
      </c>
      <c r="I230" t="str">
        <f t="shared" si="3"/>
        <v>PL2_4227_498_FIT_0143_FAH</v>
      </c>
      <c r="J230" t="s">
        <v>1446</v>
      </c>
      <c r="K230" t="s">
        <v>632</v>
      </c>
      <c r="M230" t="s">
        <v>72</v>
      </c>
      <c r="N230" t="str">
        <f>_xlfn.CONCAT(A230, ",", B230, ",", I230, ",""", J230, """,""", K230, """,""", L230, """,""", M230, """")</f>
        <v>TAG,,PL2_4227_498_FIT_0143_FAH,"BNR Grid 2-3 High Air Flow","fbDigital","","(Constant := false, ExternalAccess := Read/Write)"</v>
      </c>
    </row>
    <row r="231" spans="1:14" x14ac:dyDescent="0.25">
      <c r="A231" t="s">
        <v>35</v>
      </c>
      <c r="C231" t="s">
        <v>639</v>
      </c>
      <c r="D231" s="14">
        <v>4227</v>
      </c>
      <c r="E231" s="14">
        <v>498</v>
      </c>
      <c r="F231" t="s">
        <v>641</v>
      </c>
      <c r="G231" s="14" t="s">
        <v>735</v>
      </c>
      <c r="H231" t="s">
        <v>1435</v>
      </c>
      <c r="I231" t="str">
        <f t="shared" si="3"/>
        <v>PL2_4227_498_FIT_0143_FAL</v>
      </c>
      <c r="J231" t="s">
        <v>1459</v>
      </c>
      <c r="K231" t="s">
        <v>632</v>
      </c>
      <c r="M231" t="s">
        <v>72</v>
      </c>
      <c r="N231" t="str">
        <f>_xlfn.CONCAT(A231, ",", B231, ",", I231, ",""", J231, """,""", K231, """,""", L231, """,""", M231, """")</f>
        <v>TAG,,PL2_4227_498_FIT_0143_FAL,"BNR Grid 2-3 Low Air Flow","fbDigital","","(Constant := false, ExternalAccess := Read/Write)"</v>
      </c>
    </row>
    <row r="232" spans="1:14" x14ac:dyDescent="0.25">
      <c r="A232" t="s">
        <v>35</v>
      </c>
      <c r="C232" t="s">
        <v>639</v>
      </c>
      <c r="D232" s="14">
        <v>4227</v>
      </c>
      <c r="E232" s="14">
        <v>498</v>
      </c>
      <c r="F232" t="s">
        <v>641</v>
      </c>
      <c r="G232" s="14" t="s">
        <v>735</v>
      </c>
      <c r="H232" t="s">
        <v>1239</v>
      </c>
      <c r="I232" t="str">
        <f t="shared" si="3"/>
        <v>PL2_4227_498_FIT_0143_LOS</v>
      </c>
      <c r="J232" t="s">
        <v>1231</v>
      </c>
      <c r="K232" t="s">
        <v>632</v>
      </c>
      <c r="M232" t="s">
        <v>72</v>
      </c>
      <c r="N232" t="str">
        <f>_xlfn.CONCAT(A232, ",", B232, ",", I232, ",""", J232, """,""", K232, """,""", L232, """,""", M232, """")</f>
        <v>TAG,,PL2_4227_498_FIT_0143_LOS,"BNR Grid 2-3 Flow Meter LOS","fbDigital","","(Constant := false, ExternalAccess := Read/Write)"</v>
      </c>
    </row>
    <row r="233" spans="1:14" x14ac:dyDescent="0.25">
      <c r="A233" t="s">
        <v>35</v>
      </c>
      <c r="C233" t="s">
        <v>639</v>
      </c>
      <c r="D233" s="14">
        <v>4227</v>
      </c>
      <c r="E233" s="14">
        <v>498</v>
      </c>
      <c r="F233" t="s">
        <v>641</v>
      </c>
      <c r="G233" s="14" t="s">
        <v>1201</v>
      </c>
      <c r="I233" t="str">
        <f t="shared" si="3"/>
        <v>PL2_4227_498_FIT_0144</v>
      </c>
      <c r="J233" t="s">
        <v>1191</v>
      </c>
      <c r="K233" t="s">
        <v>631</v>
      </c>
      <c r="M233" t="s">
        <v>72</v>
      </c>
      <c r="N233" t="str">
        <f>_xlfn.CONCAT(A233, ",", B233, ",", I233, ",""", J233, """,""", K233, """,""", L233, """,""", M233, """")</f>
        <v>TAG,,PL2_4227_498_FIT_0144,"BNR Grid 2-4 Flow","fbAnalog","","(Constant := false, ExternalAccess := Read/Write)"</v>
      </c>
    </row>
    <row r="234" spans="1:14" x14ac:dyDescent="0.25">
      <c r="A234" t="s">
        <v>35</v>
      </c>
      <c r="C234" t="s">
        <v>639</v>
      </c>
      <c r="D234" s="14">
        <v>4227</v>
      </c>
      <c r="E234" s="14">
        <v>498</v>
      </c>
      <c r="F234" t="s">
        <v>641</v>
      </c>
      <c r="G234" s="14" t="s">
        <v>1201</v>
      </c>
      <c r="H234" t="s">
        <v>1434</v>
      </c>
      <c r="I234" t="str">
        <f t="shared" si="3"/>
        <v>PL2_4227_498_FIT_0144_FAH</v>
      </c>
      <c r="J234" t="s">
        <v>1445</v>
      </c>
      <c r="K234" t="s">
        <v>632</v>
      </c>
      <c r="M234" t="s">
        <v>72</v>
      </c>
      <c r="N234" t="str">
        <f>_xlfn.CONCAT(A234, ",", B234, ",", I234, ",""", J234, """,""", K234, """,""", L234, """,""", M234, """")</f>
        <v>TAG,,PL2_4227_498_FIT_0144_FAH,"BNR Grid 2-4 High Air Flow","fbDigital","","(Constant := false, ExternalAccess := Read/Write)"</v>
      </c>
    </row>
    <row r="235" spans="1:14" x14ac:dyDescent="0.25">
      <c r="A235" t="s">
        <v>35</v>
      </c>
      <c r="C235" t="s">
        <v>639</v>
      </c>
      <c r="D235" s="14">
        <v>4227</v>
      </c>
      <c r="E235" s="14">
        <v>498</v>
      </c>
      <c r="F235" t="s">
        <v>641</v>
      </c>
      <c r="G235" s="14" t="s">
        <v>1201</v>
      </c>
      <c r="H235" t="s">
        <v>1435</v>
      </c>
      <c r="I235" t="str">
        <f t="shared" si="3"/>
        <v>PL2_4227_498_FIT_0144_FAL</v>
      </c>
      <c r="J235" t="s">
        <v>1460</v>
      </c>
      <c r="K235" t="s">
        <v>632</v>
      </c>
      <c r="M235" t="s">
        <v>72</v>
      </c>
      <c r="N235" t="str">
        <f>_xlfn.CONCAT(A235, ",", B235, ",", I235, ",""", J235, """,""", K235, """,""", L235, """,""", M235, """")</f>
        <v>TAG,,PL2_4227_498_FIT_0144_FAL,"BNR Grid 2-4 Low Air Flow","fbDigital","","(Constant := false, ExternalAccess := Read/Write)"</v>
      </c>
    </row>
    <row r="236" spans="1:14" x14ac:dyDescent="0.25">
      <c r="A236" t="s">
        <v>35</v>
      </c>
      <c r="C236" t="s">
        <v>639</v>
      </c>
      <c r="D236" s="14">
        <v>4227</v>
      </c>
      <c r="E236" s="14">
        <v>498</v>
      </c>
      <c r="F236" t="s">
        <v>641</v>
      </c>
      <c r="G236" s="14" t="s">
        <v>1201</v>
      </c>
      <c r="H236" t="s">
        <v>1239</v>
      </c>
      <c r="I236" t="str">
        <f t="shared" si="3"/>
        <v>PL2_4227_498_FIT_0144_LOS</v>
      </c>
      <c r="J236" t="s">
        <v>1232</v>
      </c>
      <c r="K236" t="s">
        <v>632</v>
      </c>
      <c r="M236" t="s">
        <v>72</v>
      </c>
      <c r="N236" t="str">
        <f>_xlfn.CONCAT(A236, ",", B236, ",", I236, ",""", J236, """,""", K236, """,""", L236, """,""", M236, """")</f>
        <v>TAG,,PL2_4227_498_FIT_0144_LOS,"BNR Grid 2-4 Flow Meter LOS","fbDigital","","(Constant := false, ExternalAccess := Read/Write)"</v>
      </c>
    </row>
    <row r="237" spans="1:14" x14ac:dyDescent="0.25">
      <c r="A237" t="s">
        <v>35</v>
      </c>
      <c r="C237" t="s">
        <v>639</v>
      </c>
      <c r="D237" s="14">
        <v>4227</v>
      </c>
      <c r="E237" s="14">
        <v>498</v>
      </c>
      <c r="F237" t="s">
        <v>641</v>
      </c>
      <c r="G237" s="14" t="s">
        <v>736</v>
      </c>
      <c r="I237" t="str">
        <f t="shared" si="3"/>
        <v>PL2_4227_498_FIT_0145</v>
      </c>
      <c r="J237" t="s">
        <v>1192</v>
      </c>
      <c r="K237" t="s">
        <v>631</v>
      </c>
      <c r="M237" t="s">
        <v>72</v>
      </c>
      <c r="N237" t="str">
        <f>_xlfn.CONCAT(A237, ",", B237, ",", I237, ",""", J237, """,""", K237, """,""", L237, """,""", M237, """")</f>
        <v>TAG,,PL2_4227_498_FIT_0145,"BNR Grid 2-5 Flow","fbAnalog","","(Constant := false, ExternalAccess := Read/Write)"</v>
      </c>
    </row>
    <row r="238" spans="1:14" x14ac:dyDescent="0.25">
      <c r="A238" t="s">
        <v>35</v>
      </c>
      <c r="C238" t="s">
        <v>639</v>
      </c>
      <c r="D238" s="14">
        <v>4227</v>
      </c>
      <c r="E238" s="14">
        <v>498</v>
      </c>
      <c r="F238" t="s">
        <v>641</v>
      </c>
      <c r="G238" s="14" t="s">
        <v>736</v>
      </c>
      <c r="H238" t="s">
        <v>1434</v>
      </c>
      <c r="I238" t="str">
        <f t="shared" si="3"/>
        <v>PL2_4227_498_FIT_0145_FAH</v>
      </c>
      <c r="J238" t="s">
        <v>1444</v>
      </c>
      <c r="K238" t="s">
        <v>632</v>
      </c>
      <c r="M238" t="s">
        <v>72</v>
      </c>
      <c r="N238" t="str">
        <f>_xlfn.CONCAT(A238, ",", B238, ",", I238, ",""", J238, """,""", K238, """,""", L238, """,""", M238, """")</f>
        <v>TAG,,PL2_4227_498_FIT_0145_FAH,"BNR Grid 2-5 High Air Flow","fbDigital","","(Constant := false, ExternalAccess := Read/Write)"</v>
      </c>
    </row>
    <row r="239" spans="1:14" x14ac:dyDescent="0.25">
      <c r="A239" t="s">
        <v>35</v>
      </c>
      <c r="C239" t="s">
        <v>639</v>
      </c>
      <c r="D239" s="14">
        <v>4227</v>
      </c>
      <c r="E239" s="14">
        <v>498</v>
      </c>
      <c r="F239" t="s">
        <v>641</v>
      </c>
      <c r="G239" s="14" t="s">
        <v>736</v>
      </c>
      <c r="H239" t="s">
        <v>1435</v>
      </c>
      <c r="I239" t="str">
        <f t="shared" si="3"/>
        <v>PL2_4227_498_FIT_0145_FAL</v>
      </c>
      <c r="J239" t="s">
        <v>1461</v>
      </c>
      <c r="K239" t="s">
        <v>632</v>
      </c>
      <c r="M239" t="s">
        <v>72</v>
      </c>
      <c r="N239" t="str">
        <f>_xlfn.CONCAT(A239, ",", B239, ",", I239, ",""", J239, """,""", K239, """,""", L239, """,""", M239, """")</f>
        <v>TAG,,PL2_4227_498_FIT_0145_FAL,"BNR Grid 2-5 Low Air Flow","fbDigital","","(Constant := false, ExternalAccess := Read/Write)"</v>
      </c>
    </row>
    <row r="240" spans="1:14" x14ac:dyDescent="0.25">
      <c r="A240" t="s">
        <v>35</v>
      </c>
      <c r="C240" t="s">
        <v>639</v>
      </c>
      <c r="D240" s="14">
        <v>4227</v>
      </c>
      <c r="E240" s="14">
        <v>498</v>
      </c>
      <c r="F240" t="s">
        <v>641</v>
      </c>
      <c r="G240" s="14" t="s">
        <v>736</v>
      </c>
      <c r="H240" t="s">
        <v>1239</v>
      </c>
      <c r="I240" t="str">
        <f t="shared" si="3"/>
        <v>PL2_4227_498_FIT_0145_LOS</v>
      </c>
      <c r="J240" t="s">
        <v>1233</v>
      </c>
      <c r="K240" t="s">
        <v>632</v>
      </c>
      <c r="M240" t="s">
        <v>72</v>
      </c>
      <c r="N240" t="str">
        <f>_xlfn.CONCAT(A240, ",", B240, ",", I240, ",""", J240, """,""", K240, """,""", L240, """,""", M240, """")</f>
        <v>TAG,,PL2_4227_498_FIT_0145_LOS,"BNR Grid 2-5 Flow Meter LOS","fbDigital","","(Constant := false, ExternalAccess := Read/Write)"</v>
      </c>
    </row>
    <row r="241" spans="1:14" x14ac:dyDescent="0.25">
      <c r="A241" t="s">
        <v>35</v>
      </c>
      <c r="C241" t="s">
        <v>639</v>
      </c>
      <c r="D241" s="14">
        <v>4227</v>
      </c>
      <c r="E241" s="14">
        <v>498</v>
      </c>
      <c r="F241" t="s">
        <v>641</v>
      </c>
      <c r="G241" s="14" t="s">
        <v>737</v>
      </c>
      <c r="I241" t="str">
        <f t="shared" si="3"/>
        <v>PL2_4227_498_FIT_0151</v>
      </c>
      <c r="J241" t="s">
        <v>1193</v>
      </c>
      <c r="K241" t="s">
        <v>631</v>
      </c>
      <c r="M241" t="s">
        <v>72</v>
      </c>
      <c r="N241" t="str">
        <f>_xlfn.CONCAT(A241, ",", B241, ",", I241, ",""", J241, """,""", K241, """,""", L241, """,""", M241, """")</f>
        <v>TAG,,PL2_4227_498_FIT_0151,"BNR Grid 3-1 Flow","fbAnalog","","(Constant := false, ExternalAccess := Read/Write)"</v>
      </c>
    </row>
    <row r="242" spans="1:14" x14ac:dyDescent="0.25">
      <c r="A242" t="s">
        <v>35</v>
      </c>
      <c r="C242" t="s">
        <v>639</v>
      </c>
      <c r="D242" s="14">
        <v>4227</v>
      </c>
      <c r="E242" s="14">
        <v>498</v>
      </c>
      <c r="F242" t="s">
        <v>641</v>
      </c>
      <c r="G242" s="14" t="s">
        <v>737</v>
      </c>
      <c r="H242" t="s">
        <v>1434</v>
      </c>
      <c r="I242" t="str">
        <f t="shared" si="3"/>
        <v>PL2_4227_498_FIT_0151_FAH</v>
      </c>
      <c r="J242" t="s">
        <v>1443</v>
      </c>
      <c r="K242" t="s">
        <v>632</v>
      </c>
      <c r="M242" t="s">
        <v>72</v>
      </c>
      <c r="N242" t="str">
        <f>_xlfn.CONCAT(A242, ",", B242, ",", I242, ",""", J242, """,""", K242, """,""", L242, """,""", M242, """")</f>
        <v>TAG,,PL2_4227_498_FIT_0151_FAH,"BNR Grid 3-1 High Air Flow","fbDigital","","(Constant := false, ExternalAccess := Read/Write)"</v>
      </c>
    </row>
    <row r="243" spans="1:14" x14ac:dyDescent="0.25">
      <c r="A243" t="s">
        <v>35</v>
      </c>
      <c r="C243" t="s">
        <v>639</v>
      </c>
      <c r="D243" s="14">
        <v>4227</v>
      </c>
      <c r="E243" s="14">
        <v>498</v>
      </c>
      <c r="F243" t="s">
        <v>641</v>
      </c>
      <c r="G243" s="14" t="s">
        <v>737</v>
      </c>
      <c r="H243" t="s">
        <v>1435</v>
      </c>
      <c r="I243" t="str">
        <f t="shared" si="3"/>
        <v>PL2_4227_498_FIT_0151_FAL</v>
      </c>
      <c r="J243" t="s">
        <v>1462</v>
      </c>
      <c r="K243" t="s">
        <v>632</v>
      </c>
      <c r="M243" t="s">
        <v>72</v>
      </c>
      <c r="N243" t="str">
        <f>_xlfn.CONCAT(A243, ",", B243, ",", I243, ",""", J243, """,""", K243, """,""", L243, """,""", M243, """")</f>
        <v>TAG,,PL2_4227_498_FIT_0151_FAL,"BNR Grid 3-1 Low Air Flow","fbDigital","","(Constant := false, ExternalAccess := Read/Write)"</v>
      </c>
    </row>
    <row r="244" spans="1:14" x14ac:dyDescent="0.25">
      <c r="A244" t="s">
        <v>35</v>
      </c>
      <c r="C244" t="s">
        <v>639</v>
      </c>
      <c r="D244" s="14">
        <v>4227</v>
      </c>
      <c r="E244" s="14">
        <v>498</v>
      </c>
      <c r="F244" t="s">
        <v>641</v>
      </c>
      <c r="G244" s="14" t="s">
        <v>737</v>
      </c>
      <c r="H244" t="s">
        <v>1239</v>
      </c>
      <c r="I244" t="str">
        <f t="shared" si="3"/>
        <v>PL2_4227_498_FIT_0151_LOS</v>
      </c>
      <c r="J244" t="s">
        <v>1234</v>
      </c>
      <c r="K244" t="s">
        <v>632</v>
      </c>
      <c r="M244" t="s">
        <v>72</v>
      </c>
      <c r="N244" t="str">
        <f>_xlfn.CONCAT(A244, ",", B244, ",", I244, ",""", J244, """,""", K244, """,""", L244, """,""", M244, """")</f>
        <v>TAG,,PL2_4227_498_FIT_0151_LOS,"BNR Grid 3-1 Flow Meter LOS","fbDigital","","(Constant := false, ExternalAccess := Read/Write)"</v>
      </c>
    </row>
    <row r="245" spans="1:14" x14ac:dyDescent="0.25">
      <c r="A245" t="s">
        <v>35</v>
      </c>
      <c r="C245" t="s">
        <v>639</v>
      </c>
      <c r="D245" s="14">
        <v>4227</v>
      </c>
      <c r="E245" s="14">
        <v>498</v>
      </c>
      <c r="F245" t="s">
        <v>641</v>
      </c>
      <c r="G245" s="14" t="s">
        <v>1202</v>
      </c>
      <c r="I245" t="str">
        <f t="shared" si="3"/>
        <v>PL2_4227_498_FIT_0152</v>
      </c>
      <c r="J245" t="s">
        <v>1194</v>
      </c>
      <c r="K245" t="s">
        <v>631</v>
      </c>
      <c r="M245" t="s">
        <v>72</v>
      </c>
      <c r="N245" t="str">
        <f>_xlfn.CONCAT(A245, ",", B245, ",", I245, ",""", J245, """,""", K245, """,""", L245, """,""", M245, """")</f>
        <v>TAG,,PL2_4227_498_FIT_0152,"BNR Grid 3-2 Flow","fbAnalog","","(Constant := false, ExternalAccess := Read/Write)"</v>
      </c>
    </row>
    <row r="246" spans="1:14" x14ac:dyDescent="0.25">
      <c r="A246" t="s">
        <v>35</v>
      </c>
      <c r="C246" t="s">
        <v>639</v>
      </c>
      <c r="D246" s="14">
        <v>4227</v>
      </c>
      <c r="E246" s="14">
        <v>498</v>
      </c>
      <c r="F246" t="s">
        <v>641</v>
      </c>
      <c r="G246" s="14" t="s">
        <v>1202</v>
      </c>
      <c r="H246" t="s">
        <v>1434</v>
      </c>
      <c r="I246" t="str">
        <f t="shared" si="3"/>
        <v>PL2_4227_498_FIT_0152_FAH</v>
      </c>
      <c r="J246" t="s">
        <v>1442</v>
      </c>
      <c r="K246" t="s">
        <v>632</v>
      </c>
      <c r="M246" t="s">
        <v>72</v>
      </c>
      <c r="N246" t="str">
        <f>_xlfn.CONCAT(A246, ",", B246, ",", I246, ",""", J246, """,""", K246, """,""", L246, """,""", M246, """")</f>
        <v>TAG,,PL2_4227_498_FIT_0152_FAH,"BNR Grid 3-2 High Air Flow","fbDigital","","(Constant := false, ExternalAccess := Read/Write)"</v>
      </c>
    </row>
    <row r="247" spans="1:14" x14ac:dyDescent="0.25">
      <c r="A247" t="s">
        <v>35</v>
      </c>
      <c r="C247" t="s">
        <v>639</v>
      </c>
      <c r="D247" s="14">
        <v>4227</v>
      </c>
      <c r="E247" s="14">
        <v>498</v>
      </c>
      <c r="F247" t="s">
        <v>641</v>
      </c>
      <c r="G247" s="14" t="s">
        <v>1202</v>
      </c>
      <c r="H247" t="s">
        <v>1435</v>
      </c>
      <c r="I247" t="str">
        <f t="shared" si="3"/>
        <v>PL2_4227_498_FIT_0152_FAL</v>
      </c>
      <c r="J247" t="s">
        <v>1463</v>
      </c>
      <c r="K247" t="s">
        <v>632</v>
      </c>
      <c r="M247" t="s">
        <v>72</v>
      </c>
      <c r="N247" t="str">
        <f>_xlfn.CONCAT(A247, ",", B247, ",", I247, ",""", J247, """,""", K247, """,""", L247, """,""", M247, """")</f>
        <v>TAG,,PL2_4227_498_FIT_0152_FAL,"BNR Grid 3-2 Low Air Flow","fbDigital","","(Constant := false, ExternalAccess := Read/Write)"</v>
      </c>
    </row>
    <row r="248" spans="1:14" x14ac:dyDescent="0.25">
      <c r="A248" t="s">
        <v>35</v>
      </c>
      <c r="C248" t="s">
        <v>639</v>
      </c>
      <c r="D248" s="14">
        <v>4227</v>
      </c>
      <c r="E248" s="14">
        <v>498</v>
      </c>
      <c r="F248" t="s">
        <v>641</v>
      </c>
      <c r="G248" s="14" t="s">
        <v>1202</v>
      </c>
      <c r="H248" t="s">
        <v>1239</v>
      </c>
      <c r="I248" t="str">
        <f t="shared" si="3"/>
        <v>PL2_4227_498_FIT_0152_LOS</v>
      </c>
      <c r="J248" t="s">
        <v>1235</v>
      </c>
      <c r="K248" t="s">
        <v>632</v>
      </c>
      <c r="M248" t="s">
        <v>72</v>
      </c>
      <c r="N248" t="str">
        <f>_xlfn.CONCAT(A248, ",", B248, ",", I248, ",""", J248, """,""", K248, """,""", L248, """,""", M248, """")</f>
        <v>TAG,,PL2_4227_498_FIT_0152_LOS,"BNR Grid 3-2 Flow Meter LOS","fbDigital","","(Constant := false, ExternalAccess := Read/Write)"</v>
      </c>
    </row>
    <row r="249" spans="1:14" x14ac:dyDescent="0.25">
      <c r="A249" t="s">
        <v>35</v>
      </c>
      <c r="C249" t="s">
        <v>639</v>
      </c>
      <c r="D249" s="14">
        <v>4227</v>
      </c>
      <c r="E249" s="14">
        <v>498</v>
      </c>
      <c r="F249" t="s">
        <v>641</v>
      </c>
      <c r="G249" s="14" t="s">
        <v>738</v>
      </c>
      <c r="I249" t="str">
        <f t="shared" si="3"/>
        <v>PL2_4227_498_FIT_0153</v>
      </c>
      <c r="J249" t="s">
        <v>1195</v>
      </c>
      <c r="K249" t="s">
        <v>631</v>
      </c>
      <c r="M249" t="s">
        <v>72</v>
      </c>
      <c r="N249" t="str">
        <f>_xlfn.CONCAT(A249, ",", B249, ",", I249, ",""", J249, """,""", K249, """,""", L249, """,""", M249, """")</f>
        <v>TAG,,PL2_4227_498_FIT_0153,"BNR Grid 3-3 Flow","fbAnalog","","(Constant := false, ExternalAccess := Read/Write)"</v>
      </c>
    </row>
    <row r="250" spans="1:14" x14ac:dyDescent="0.25">
      <c r="A250" t="s">
        <v>35</v>
      </c>
      <c r="C250" t="s">
        <v>639</v>
      </c>
      <c r="D250" s="14">
        <v>4227</v>
      </c>
      <c r="E250" s="14">
        <v>498</v>
      </c>
      <c r="F250" t="s">
        <v>641</v>
      </c>
      <c r="G250" s="14" t="s">
        <v>738</v>
      </c>
      <c r="H250" t="s">
        <v>1434</v>
      </c>
      <c r="I250" t="str">
        <f t="shared" si="3"/>
        <v>PL2_4227_498_FIT_0153_FAH</v>
      </c>
      <c r="J250" t="s">
        <v>1441</v>
      </c>
      <c r="K250" t="s">
        <v>632</v>
      </c>
      <c r="M250" t="s">
        <v>72</v>
      </c>
      <c r="N250" t="str">
        <f>_xlfn.CONCAT(A250, ",", B250, ",", I250, ",""", J250, """,""", K250, """,""", L250, """,""", M250, """")</f>
        <v>TAG,,PL2_4227_498_FIT_0153_FAH,"BNR Grid 3-3 High Air Flow","fbDigital","","(Constant := false, ExternalAccess := Read/Write)"</v>
      </c>
    </row>
    <row r="251" spans="1:14" x14ac:dyDescent="0.25">
      <c r="A251" t="s">
        <v>35</v>
      </c>
      <c r="C251" t="s">
        <v>639</v>
      </c>
      <c r="D251" s="14">
        <v>4227</v>
      </c>
      <c r="E251" s="14">
        <v>498</v>
      </c>
      <c r="F251" t="s">
        <v>641</v>
      </c>
      <c r="G251" s="14" t="s">
        <v>738</v>
      </c>
      <c r="H251" t="s">
        <v>1435</v>
      </c>
      <c r="I251" t="str">
        <f t="shared" si="3"/>
        <v>PL2_4227_498_FIT_0153_FAL</v>
      </c>
      <c r="J251" t="s">
        <v>1464</v>
      </c>
      <c r="K251" t="s">
        <v>632</v>
      </c>
      <c r="M251" t="s">
        <v>72</v>
      </c>
      <c r="N251" t="str">
        <f>_xlfn.CONCAT(A251, ",", B251, ",", I251, ",""", J251, """,""", K251, """,""", L251, """,""", M251, """")</f>
        <v>TAG,,PL2_4227_498_FIT_0153_FAL,"BNR Grid 3-3 Low Air Flow","fbDigital","","(Constant := false, ExternalAccess := Read/Write)"</v>
      </c>
    </row>
    <row r="252" spans="1:14" x14ac:dyDescent="0.25">
      <c r="A252" t="s">
        <v>35</v>
      </c>
      <c r="C252" t="s">
        <v>639</v>
      </c>
      <c r="D252" s="14">
        <v>4227</v>
      </c>
      <c r="E252" s="14">
        <v>498</v>
      </c>
      <c r="F252" t="s">
        <v>641</v>
      </c>
      <c r="G252" s="14" t="s">
        <v>738</v>
      </c>
      <c r="H252" t="s">
        <v>1239</v>
      </c>
      <c r="I252" t="str">
        <f t="shared" si="3"/>
        <v>PL2_4227_498_FIT_0153_LOS</v>
      </c>
      <c r="J252" t="s">
        <v>1236</v>
      </c>
      <c r="K252" t="s">
        <v>632</v>
      </c>
      <c r="M252" t="s">
        <v>72</v>
      </c>
      <c r="N252" t="str">
        <f>_xlfn.CONCAT(A252, ",", B252, ",", I252, ",""", J252, """,""", K252, """,""", L252, """,""", M252, """")</f>
        <v>TAG,,PL2_4227_498_FIT_0153_LOS,"BNR Grid 3-3 Flow Meter LOS","fbDigital","","(Constant := false, ExternalAccess := Read/Write)"</v>
      </c>
    </row>
    <row r="253" spans="1:14" x14ac:dyDescent="0.25">
      <c r="A253" t="s">
        <v>35</v>
      </c>
      <c r="C253" t="s">
        <v>639</v>
      </c>
      <c r="D253" s="14">
        <v>4227</v>
      </c>
      <c r="E253" s="14">
        <v>498</v>
      </c>
      <c r="F253" t="s">
        <v>641</v>
      </c>
      <c r="G253" s="14" t="s">
        <v>1203</v>
      </c>
      <c r="I253" t="str">
        <f t="shared" si="3"/>
        <v>PL2_4227_498_FIT_0154</v>
      </c>
      <c r="J253" t="s">
        <v>1196</v>
      </c>
      <c r="K253" t="s">
        <v>631</v>
      </c>
      <c r="M253" t="s">
        <v>72</v>
      </c>
      <c r="N253" t="str">
        <f>_xlfn.CONCAT(A253, ",", B253, ",", I253, ",""", J253, """,""", K253, """,""", L253, """,""", M253, """")</f>
        <v>TAG,,PL2_4227_498_FIT_0154,"BNR Grid 3-4 Flow","fbAnalog","","(Constant := false, ExternalAccess := Read/Write)"</v>
      </c>
    </row>
    <row r="254" spans="1:14" x14ac:dyDescent="0.25">
      <c r="A254" t="s">
        <v>35</v>
      </c>
      <c r="C254" t="s">
        <v>639</v>
      </c>
      <c r="D254" s="14">
        <v>4227</v>
      </c>
      <c r="E254" s="14">
        <v>498</v>
      </c>
      <c r="F254" t="s">
        <v>641</v>
      </c>
      <c r="G254" s="14" t="s">
        <v>1203</v>
      </c>
      <c r="H254" t="s">
        <v>1434</v>
      </c>
      <c r="I254" t="str">
        <f t="shared" si="3"/>
        <v>PL2_4227_498_FIT_0154_FAH</v>
      </c>
      <c r="J254" t="s">
        <v>1440</v>
      </c>
      <c r="K254" t="s">
        <v>632</v>
      </c>
      <c r="M254" t="s">
        <v>72</v>
      </c>
      <c r="N254" t="str">
        <f>_xlfn.CONCAT(A254, ",", B254, ",", I254, ",""", J254, """,""", K254, """,""", L254, """,""", M254, """")</f>
        <v>TAG,,PL2_4227_498_FIT_0154_FAH,"BNR Grid 3-4 High Air Flow","fbDigital","","(Constant := false, ExternalAccess := Read/Write)"</v>
      </c>
    </row>
    <row r="255" spans="1:14" x14ac:dyDescent="0.25">
      <c r="A255" t="s">
        <v>35</v>
      </c>
      <c r="C255" t="s">
        <v>639</v>
      </c>
      <c r="D255" s="14">
        <v>4227</v>
      </c>
      <c r="E255" s="14">
        <v>498</v>
      </c>
      <c r="F255" t="s">
        <v>641</v>
      </c>
      <c r="G255" s="14" t="s">
        <v>1203</v>
      </c>
      <c r="H255" t="s">
        <v>1435</v>
      </c>
      <c r="I255" t="str">
        <f t="shared" si="3"/>
        <v>PL2_4227_498_FIT_0154_FAL</v>
      </c>
      <c r="J255" t="s">
        <v>1465</v>
      </c>
      <c r="K255" t="s">
        <v>632</v>
      </c>
      <c r="M255" t="s">
        <v>72</v>
      </c>
      <c r="N255" t="str">
        <f>_xlfn.CONCAT(A255, ",", B255, ",", I255, ",""", J255, """,""", K255, """,""", L255, """,""", M255, """")</f>
        <v>TAG,,PL2_4227_498_FIT_0154_FAL,"BNR Grid 3-4 Low Air Flow","fbDigital","","(Constant := false, ExternalAccess := Read/Write)"</v>
      </c>
    </row>
    <row r="256" spans="1:14" x14ac:dyDescent="0.25">
      <c r="A256" t="s">
        <v>35</v>
      </c>
      <c r="C256" t="s">
        <v>639</v>
      </c>
      <c r="D256" s="14">
        <v>4227</v>
      </c>
      <c r="E256" s="14">
        <v>498</v>
      </c>
      <c r="F256" t="s">
        <v>641</v>
      </c>
      <c r="G256" s="14" t="s">
        <v>1203</v>
      </c>
      <c r="H256" t="s">
        <v>1239</v>
      </c>
      <c r="I256" t="str">
        <f t="shared" si="3"/>
        <v>PL2_4227_498_FIT_0154_LOS</v>
      </c>
      <c r="J256" t="s">
        <v>1237</v>
      </c>
      <c r="K256" t="s">
        <v>632</v>
      </c>
      <c r="M256" t="s">
        <v>72</v>
      </c>
      <c r="N256" t="str">
        <f>_xlfn.CONCAT(A256, ",", B256, ",", I256, ",""", J256, """,""", K256, """,""", L256, """,""", M256, """")</f>
        <v>TAG,,PL2_4227_498_FIT_0154_LOS,"BNR Grid 3-4 Flow Meter LOS","fbDigital","","(Constant := false, ExternalAccess := Read/Write)"</v>
      </c>
    </row>
    <row r="257" spans="1:14" x14ac:dyDescent="0.25">
      <c r="A257" t="s">
        <v>35</v>
      </c>
      <c r="C257" t="s">
        <v>639</v>
      </c>
      <c r="D257" s="14">
        <v>4227</v>
      </c>
      <c r="E257" s="14">
        <v>498</v>
      </c>
      <c r="F257" t="s">
        <v>641</v>
      </c>
      <c r="G257" s="14" t="s">
        <v>739</v>
      </c>
      <c r="I257" t="str">
        <f t="shared" si="3"/>
        <v>PL2_4227_498_FIT_0155</v>
      </c>
      <c r="J257" t="s">
        <v>1197</v>
      </c>
      <c r="K257" t="s">
        <v>631</v>
      </c>
      <c r="M257" t="s">
        <v>72</v>
      </c>
      <c r="N257" t="str">
        <f>_xlfn.CONCAT(A257, ",", B257, ",", I257, ",""", J257, """,""", K257, """,""", L257, """,""", M257, """")</f>
        <v>TAG,,PL2_4227_498_FIT_0155,"BNR Grid 3-5 Flow","fbAnalog","","(Constant := false, ExternalAccess := Read/Write)"</v>
      </c>
    </row>
    <row r="258" spans="1:14" x14ac:dyDescent="0.25">
      <c r="A258" t="s">
        <v>35</v>
      </c>
      <c r="C258" t="s">
        <v>639</v>
      </c>
      <c r="D258" s="14">
        <v>4227</v>
      </c>
      <c r="E258" s="14">
        <v>498</v>
      </c>
      <c r="F258" t="s">
        <v>641</v>
      </c>
      <c r="G258" s="14" t="s">
        <v>739</v>
      </c>
      <c r="H258" t="s">
        <v>1434</v>
      </c>
      <c r="I258" t="str">
        <f t="shared" si="3"/>
        <v>PL2_4227_498_FIT_0155_FAH</v>
      </c>
      <c r="J258" t="s">
        <v>1439</v>
      </c>
      <c r="K258" t="s">
        <v>632</v>
      </c>
      <c r="M258" t="s">
        <v>72</v>
      </c>
      <c r="N258" t="str">
        <f>_xlfn.CONCAT(A258, ",", B258, ",", I258, ",""", J258, """,""", K258, """,""", L258, """,""", M258, """")</f>
        <v>TAG,,PL2_4227_498_FIT_0155_FAH,"BNR Grid 3-5 High Air Flow","fbDigital","","(Constant := false, ExternalAccess := Read/Write)"</v>
      </c>
    </row>
    <row r="259" spans="1:14" x14ac:dyDescent="0.25">
      <c r="A259" t="s">
        <v>35</v>
      </c>
      <c r="C259" t="s">
        <v>639</v>
      </c>
      <c r="D259" s="14">
        <v>4227</v>
      </c>
      <c r="E259" s="14">
        <v>498</v>
      </c>
      <c r="F259" t="s">
        <v>641</v>
      </c>
      <c r="G259" s="14" t="s">
        <v>739</v>
      </c>
      <c r="H259" t="s">
        <v>1435</v>
      </c>
      <c r="I259" t="str">
        <f t="shared" ref="I259:I322" si="4">_xlfn.CONCAT(C259,"_",D259,"_",_xlfn.CONCAT(E259, "_"),F259,"_",G259, IF(ISBLANK(H259), "", _xlfn.CONCAT("_",H259)))</f>
        <v>PL2_4227_498_FIT_0155_FAL</v>
      </c>
      <c r="J259" t="s">
        <v>1466</v>
      </c>
      <c r="K259" t="s">
        <v>632</v>
      </c>
      <c r="M259" t="s">
        <v>72</v>
      </c>
      <c r="N259" t="str">
        <f>_xlfn.CONCAT(A259, ",", B259, ",", I259, ",""", J259, """,""", K259, """,""", L259, """,""", M259, """")</f>
        <v>TAG,,PL2_4227_498_FIT_0155_FAL,"BNR Grid 3-5 Low Air Flow","fbDigital","","(Constant := false, ExternalAccess := Read/Write)"</v>
      </c>
    </row>
    <row r="260" spans="1:14" x14ac:dyDescent="0.25">
      <c r="A260" t="s">
        <v>35</v>
      </c>
      <c r="C260" t="s">
        <v>639</v>
      </c>
      <c r="D260" s="14">
        <v>4227</v>
      </c>
      <c r="E260" s="14">
        <v>498</v>
      </c>
      <c r="F260" t="s">
        <v>641</v>
      </c>
      <c r="G260" s="14" t="s">
        <v>739</v>
      </c>
      <c r="H260" t="s">
        <v>1239</v>
      </c>
      <c r="I260" t="str">
        <f t="shared" si="4"/>
        <v>PL2_4227_498_FIT_0155_LOS</v>
      </c>
      <c r="J260" t="s">
        <v>1238</v>
      </c>
      <c r="K260" t="s">
        <v>632</v>
      </c>
      <c r="M260" t="s">
        <v>72</v>
      </c>
      <c r="N260" t="str">
        <f>_xlfn.CONCAT(A260, ",", B260, ",", I260, ",""", J260, """,""", K260, """,""", L260, """,""", M260, """")</f>
        <v>TAG,,PL2_4227_498_FIT_0155_LOS,"BNR Grid 3-5 Flow Meter LOS","fbDigital","","(Constant := false, ExternalAccess := Read/Write)"</v>
      </c>
    </row>
    <row r="261" spans="1:14" x14ac:dyDescent="0.25">
      <c r="A261" t="s">
        <v>35</v>
      </c>
      <c r="C261" t="s">
        <v>639</v>
      </c>
      <c r="D261" s="14" t="s">
        <v>753</v>
      </c>
      <c r="E261" s="14" t="s">
        <v>904</v>
      </c>
      <c r="F261" t="s">
        <v>923</v>
      </c>
      <c r="G261" s="14" t="s">
        <v>919</v>
      </c>
      <c r="H261" t="s">
        <v>790</v>
      </c>
      <c r="I261" t="str">
        <f t="shared" si="4"/>
        <v>PL2_4228_110_LVSP_0210_YAF</v>
      </c>
      <c r="J261" t="s">
        <v>929</v>
      </c>
      <c r="K261" t="s">
        <v>632</v>
      </c>
      <c r="M261" t="s">
        <v>72</v>
      </c>
      <c r="N261" t="str">
        <f>_xlfn.CONCAT(A261, ",", B261, ",", I261, ",""", J261, """,""", K261, """,""", L261, """,""", M261, """")</f>
        <v>TAG,,PL2_4228_110_LVSP_0210_YAF,"BNR Blower No. 1 Core 1 LVSP Fault","fbDigital","","(Constant := false, ExternalAccess := Read/Write)"</v>
      </c>
    </row>
    <row r="262" spans="1:14" x14ac:dyDescent="0.25">
      <c r="A262" t="s">
        <v>35</v>
      </c>
      <c r="C262" t="s">
        <v>639</v>
      </c>
      <c r="D262" s="14" t="s">
        <v>753</v>
      </c>
      <c r="E262" s="14" t="s">
        <v>904</v>
      </c>
      <c r="F262" t="s">
        <v>923</v>
      </c>
      <c r="G262" s="14" t="s">
        <v>906</v>
      </c>
      <c r="H262" t="s">
        <v>790</v>
      </c>
      <c r="I262" t="str">
        <f t="shared" si="4"/>
        <v>PL2_4228_110_LVSP_0220_YAF</v>
      </c>
      <c r="J262" t="s">
        <v>933</v>
      </c>
      <c r="K262" t="s">
        <v>632</v>
      </c>
      <c r="M262" t="s">
        <v>72</v>
      </c>
      <c r="N262" t="str">
        <f>_xlfn.CONCAT(A262, ",", B262, ",", I262, ",""", J262, """,""", K262, """,""", L262, """,""", M262, """")</f>
        <v>TAG,,PL2_4228_110_LVSP_0220_YAF,"BNR Blower No. 1 Core 2 LVSP Fault","fbDigital","","(Constant := false, ExternalAccess := Read/Write)"</v>
      </c>
    </row>
    <row r="263" spans="1:14" x14ac:dyDescent="0.25">
      <c r="A263" t="s">
        <v>35</v>
      </c>
      <c r="C263" t="s">
        <v>639</v>
      </c>
      <c r="D263" s="14" t="s">
        <v>753</v>
      </c>
      <c r="E263" s="14" t="s">
        <v>904</v>
      </c>
      <c r="F263" t="s">
        <v>923</v>
      </c>
      <c r="G263" s="14" t="s">
        <v>920</v>
      </c>
      <c r="H263" t="s">
        <v>790</v>
      </c>
      <c r="I263" t="str">
        <f t="shared" si="4"/>
        <v>PL2_4228_110_LVSP_0230_YAF</v>
      </c>
      <c r="J263" t="s">
        <v>930</v>
      </c>
      <c r="K263" t="s">
        <v>632</v>
      </c>
      <c r="M263" t="s">
        <v>72</v>
      </c>
      <c r="N263" t="str">
        <f>_xlfn.CONCAT(A263, ",", B263, ",", I263, ",""", J263, """,""", K263, """,""", L263, """,""", M263, """")</f>
        <v>TAG,,PL2_4228_110_LVSP_0230_YAF,"BNR Blower No. 2 Core 1 LVSP Fault","fbDigital","","(Constant := false, ExternalAccess := Read/Write)"</v>
      </c>
    </row>
    <row r="264" spans="1:14" x14ac:dyDescent="0.25">
      <c r="A264" t="s">
        <v>35</v>
      </c>
      <c r="C264" t="s">
        <v>639</v>
      </c>
      <c r="D264" s="14" t="s">
        <v>753</v>
      </c>
      <c r="E264" s="14" t="s">
        <v>904</v>
      </c>
      <c r="F264" t="s">
        <v>923</v>
      </c>
      <c r="G264" s="14" t="s">
        <v>910</v>
      </c>
      <c r="H264" t="s">
        <v>790</v>
      </c>
      <c r="I264" t="str">
        <f t="shared" si="4"/>
        <v>PL2_4228_110_LVSP_0240_YAF</v>
      </c>
      <c r="J264" t="s">
        <v>934</v>
      </c>
      <c r="K264" t="s">
        <v>632</v>
      </c>
      <c r="M264" t="s">
        <v>72</v>
      </c>
      <c r="N264" t="str">
        <f>_xlfn.CONCAT(A264, ",", B264, ",", I264, ",""", J264, """,""", K264, """,""", L264, """,""", M264, """")</f>
        <v>TAG,,PL2_4228_110_LVSP_0240_YAF,"BNR Blower No. 2 Core 2 LVSP Fault","fbDigital","","(Constant := false, ExternalAccess := Read/Write)"</v>
      </c>
    </row>
    <row r="265" spans="1:14" x14ac:dyDescent="0.25">
      <c r="A265" t="s">
        <v>35</v>
      </c>
      <c r="C265" t="s">
        <v>639</v>
      </c>
      <c r="D265" s="14" t="s">
        <v>753</v>
      </c>
      <c r="E265" s="14" t="s">
        <v>904</v>
      </c>
      <c r="F265" t="s">
        <v>923</v>
      </c>
      <c r="G265" s="14" t="s">
        <v>921</v>
      </c>
      <c r="H265" t="s">
        <v>790</v>
      </c>
      <c r="I265" t="str">
        <f t="shared" si="4"/>
        <v>PL2_4228_110_LVSP_0250_YAF</v>
      </c>
      <c r="J265" t="s">
        <v>931</v>
      </c>
      <c r="K265" t="s">
        <v>632</v>
      </c>
      <c r="M265" t="s">
        <v>72</v>
      </c>
      <c r="N265" t="str">
        <f>_xlfn.CONCAT(A265, ",", B265, ",", I265, ",""", J265, """,""", K265, """,""", L265, """,""", M265, """")</f>
        <v>TAG,,PL2_4228_110_LVSP_0250_YAF,"BNR Blower No. 3 Core 1 LVSP Fault","fbDigital","","(Constant := false, ExternalAccess := Read/Write)"</v>
      </c>
    </row>
    <row r="266" spans="1:14" x14ac:dyDescent="0.25">
      <c r="A266" t="s">
        <v>35</v>
      </c>
      <c r="C266" t="s">
        <v>639</v>
      </c>
      <c r="D266" s="14" t="s">
        <v>753</v>
      </c>
      <c r="E266" s="14" t="s">
        <v>904</v>
      </c>
      <c r="F266" t="s">
        <v>923</v>
      </c>
      <c r="G266" s="14" t="s">
        <v>911</v>
      </c>
      <c r="H266" t="s">
        <v>790</v>
      </c>
      <c r="I266" t="str">
        <f t="shared" si="4"/>
        <v>PL2_4228_110_LVSP_0260_YAF</v>
      </c>
      <c r="J266" t="s">
        <v>935</v>
      </c>
      <c r="K266" t="s">
        <v>632</v>
      </c>
      <c r="M266" t="s">
        <v>72</v>
      </c>
      <c r="N266" t="str">
        <f>_xlfn.CONCAT(A266, ",", B266, ",", I266, ",""", J266, """,""", K266, """,""", L266, """,""", M266, """")</f>
        <v>TAG,,PL2_4228_110_LVSP_0260_YAF,"BNR Blower No. 3 Core 2 LVSP Fault","fbDigital","","(Constant := false, ExternalAccess := Read/Write)"</v>
      </c>
    </row>
    <row r="267" spans="1:14" x14ac:dyDescent="0.25">
      <c r="A267" t="s">
        <v>35</v>
      </c>
      <c r="C267" t="s">
        <v>639</v>
      </c>
      <c r="D267" s="14" t="s">
        <v>753</v>
      </c>
      <c r="E267" s="14" t="s">
        <v>904</v>
      </c>
      <c r="F267" t="s">
        <v>923</v>
      </c>
      <c r="G267" s="14" t="s">
        <v>922</v>
      </c>
      <c r="H267" t="s">
        <v>790</v>
      </c>
      <c r="I267" t="str">
        <f t="shared" si="4"/>
        <v>PL2_4228_110_LVSP_0270_YAF</v>
      </c>
      <c r="J267" t="s">
        <v>932</v>
      </c>
      <c r="K267" t="s">
        <v>632</v>
      </c>
      <c r="M267" t="s">
        <v>72</v>
      </c>
      <c r="N267" t="str">
        <f>_xlfn.CONCAT(A267, ",", B267, ",", I267, ",""", J267, """,""", K267, """,""", L267, """,""", M267, """")</f>
        <v>TAG,,PL2_4228_110_LVSP_0270_YAF,"BNR Blower No. 4 Core 1 LVSP Fault","fbDigital","","(Constant := false, ExternalAccess := Read/Write)"</v>
      </c>
    </row>
    <row r="268" spans="1:14" x14ac:dyDescent="0.25">
      <c r="A268" t="s">
        <v>35</v>
      </c>
      <c r="C268" t="s">
        <v>639</v>
      </c>
      <c r="D268" s="14" t="s">
        <v>753</v>
      </c>
      <c r="E268" s="14" t="s">
        <v>904</v>
      </c>
      <c r="F268" t="s">
        <v>923</v>
      </c>
      <c r="G268" s="14" t="s">
        <v>905</v>
      </c>
      <c r="H268" t="s">
        <v>790</v>
      </c>
      <c r="I268" t="str">
        <f t="shared" si="4"/>
        <v>PL2_4228_110_LVSP_0280_YAF</v>
      </c>
      <c r="J268" t="s">
        <v>936</v>
      </c>
      <c r="K268" t="s">
        <v>632</v>
      </c>
      <c r="M268" t="s">
        <v>72</v>
      </c>
      <c r="N268" t="str">
        <f>_xlfn.CONCAT(A268, ",", B268, ",", I268, ",""", J268, """,""", K268, """,""", L268, """,""", M268, """")</f>
        <v>TAG,,PL2_4228_110_LVSP_0280_YAF,"BNR Blower No. 4 Core 2 LVSP Fault","fbDigital","","(Constant := false, ExternalAccess := Read/Write)"</v>
      </c>
    </row>
    <row r="269" spans="1:14" x14ac:dyDescent="0.25">
      <c r="A269" t="s">
        <v>35</v>
      </c>
      <c r="C269" t="s">
        <v>639</v>
      </c>
      <c r="D269" s="14" t="s">
        <v>753</v>
      </c>
      <c r="E269" s="14" t="s">
        <v>904</v>
      </c>
      <c r="F269" t="s">
        <v>928</v>
      </c>
      <c r="G269" s="14" t="s">
        <v>906</v>
      </c>
      <c r="H269" t="s">
        <v>790</v>
      </c>
      <c r="I269" t="str">
        <f t="shared" si="4"/>
        <v>PL2_4228_110_SPD_0220_YAF</v>
      </c>
      <c r="J269" t="s">
        <v>924</v>
      </c>
      <c r="K269" t="s">
        <v>632</v>
      </c>
      <c r="M269" t="s">
        <v>72</v>
      </c>
      <c r="N269" t="str">
        <f>_xlfn.CONCAT(A269, ",", B269, ",", I269, ",""", J269, """,""", K269, """,""", L269, """,""", M269, """")</f>
        <v>TAG,,PL2_4228_110_SPD_0220_YAF,"BNR Blower No. 1 SPD Fault","fbDigital","","(Constant := false, ExternalAccess := Read/Write)"</v>
      </c>
    </row>
    <row r="270" spans="1:14" x14ac:dyDescent="0.25">
      <c r="A270" t="s">
        <v>35</v>
      </c>
      <c r="C270" t="s">
        <v>639</v>
      </c>
      <c r="D270" s="14" t="s">
        <v>753</v>
      </c>
      <c r="E270" s="14" t="s">
        <v>904</v>
      </c>
      <c r="F270" t="s">
        <v>928</v>
      </c>
      <c r="G270" s="14" t="s">
        <v>910</v>
      </c>
      <c r="H270" t="s">
        <v>790</v>
      </c>
      <c r="I270" t="str">
        <f t="shared" si="4"/>
        <v>PL2_4228_110_SPD_0240_YAF</v>
      </c>
      <c r="J270" t="s">
        <v>925</v>
      </c>
      <c r="K270" t="s">
        <v>632</v>
      </c>
      <c r="M270" t="s">
        <v>72</v>
      </c>
      <c r="N270" t="str">
        <f>_xlfn.CONCAT(A270, ",", B270, ",", I270, ",""", J270, """,""", K270, """,""", L270, """,""", M270, """")</f>
        <v>TAG,,PL2_4228_110_SPD_0240_YAF,"BNR Blower No. 2 SPD Fault","fbDigital","","(Constant := false, ExternalAccess := Read/Write)"</v>
      </c>
    </row>
    <row r="271" spans="1:14" x14ac:dyDescent="0.25">
      <c r="A271" t="s">
        <v>35</v>
      </c>
      <c r="C271" t="s">
        <v>639</v>
      </c>
      <c r="D271" s="14" t="s">
        <v>753</v>
      </c>
      <c r="E271" s="14" t="s">
        <v>904</v>
      </c>
      <c r="F271" t="s">
        <v>928</v>
      </c>
      <c r="G271" s="14" t="s">
        <v>911</v>
      </c>
      <c r="H271" t="s">
        <v>790</v>
      </c>
      <c r="I271" t="str">
        <f t="shared" si="4"/>
        <v>PL2_4228_110_SPD_0260_YAF</v>
      </c>
      <c r="J271" t="s">
        <v>926</v>
      </c>
      <c r="K271" t="s">
        <v>632</v>
      </c>
      <c r="M271" t="s">
        <v>72</v>
      </c>
      <c r="N271" t="str">
        <f>_xlfn.CONCAT(A271, ",", B271, ",", I271, ",""", J271, """,""", K271, """,""", L271, """,""", M271, """")</f>
        <v>TAG,,PL2_4228_110_SPD_0260_YAF,"BNR Blower No. 3 SPD Fault","fbDigital","","(Constant := false, ExternalAccess := Read/Write)"</v>
      </c>
    </row>
    <row r="272" spans="1:14" x14ac:dyDescent="0.25">
      <c r="A272" t="s">
        <v>35</v>
      </c>
      <c r="C272" t="s">
        <v>639</v>
      </c>
      <c r="D272" s="14" t="s">
        <v>753</v>
      </c>
      <c r="E272" s="14" t="s">
        <v>904</v>
      </c>
      <c r="F272" t="s">
        <v>928</v>
      </c>
      <c r="G272" s="14" t="s">
        <v>905</v>
      </c>
      <c r="H272" t="s">
        <v>790</v>
      </c>
      <c r="I272" t="str">
        <f t="shared" si="4"/>
        <v>PL2_4228_110_SPD_0280_YAF</v>
      </c>
      <c r="J272" t="s">
        <v>927</v>
      </c>
      <c r="K272" t="s">
        <v>632</v>
      </c>
      <c r="M272" t="s">
        <v>72</v>
      </c>
      <c r="N272" t="str">
        <f>_xlfn.CONCAT(A272, ",", B272, ",", I272, ",""", J272, """,""", K272, """,""", L272, """,""", M272, """")</f>
        <v>TAG,,PL2_4228_110_SPD_0280_YAF,"BNR Blower No. 4 SPD Fault","fbDigital","","(Constant := false, ExternalAccess := Read/Write)"</v>
      </c>
    </row>
    <row r="273" spans="1:14" x14ac:dyDescent="0.25">
      <c r="A273" t="s">
        <v>35</v>
      </c>
      <c r="C273" t="s">
        <v>639</v>
      </c>
      <c r="D273" s="14" t="s">
        <v>753</v>
      </c>
      <c r="E273" s="14" t="s">
        <v>904</v>
      </c>
      <c r="F273" t="s">
        <v>912</v>
      </c>
      <c r="G273" s="14" t="s">
        <v>906</v>
      </c>
      <c r="H273" t="s">
        <v>917</v>
      </c>
      <c r="I273" t="str">
        <f t="shared" si="4"/>
        <v>PL2_4228_110_UPS_0220_JSB</v>
      </c>
      <c r="J273" t="s">
        <v>916</v>
      </c>
      <c r="K273" t="s">
        <v>632</v>
      </c>
      <c r="M273" t="s">
        <v>72</v>
      </c>
      <c r="N273" t="str">
        <f>_xlfn.CONCAT(A273, ",", B273, ",", I273, ",""", J273, """,""", K273, """,""", L273, """,""", M273, """")</f>
        <v>TAG,,PL2_4228_110_UPS_0220_JSB,"BNR Blower No. 1 UPS On Battery","fbDigital","","(Constant := false, ExternalAccess := Read/Write)"</v>
      </c>
    </row>
    <row r="274" spans="1:14" x14ac:dyDescent="0.25">
      <c r="A274" t="s">
        <v>35</v>
      </c>
      <c r="C274" t="s">
        <v>639</v>
      </c>
      <c r="D274" s="14" t="s">
        <v>753</v>
      </c>
      <c r="E274" s="14" t="s">
        <v>904</v>
      </c>
      <c r="F274" t="s">
        <v>912</v>
      </c>
      <c r="G274" s="14" t="s">
        <v>906</v>
      </c>
      <c r="H274" t="s">
        <v>790</v>
      </c>
      <c r="I274" t="str">
        <f t="shared" si="4"/>
        <v>PL2_4228_110_UPS_0220_YAF</v>
      </c>
      <c r="J274" t="s">
        <v>903</v>
      </c>
      <c r="K274" t="s">
        <v>632</v>
      </c>
      <c r="M274" t="s">
        <v>72</v>
      </c>
      <c r="N274" t="str">
        <f>_xlfn.CONCAT(A274, ",", B274, ",", I274, ",""", J274, """,""", K274, """,""", L274, """,""", M274, """")</f>
        <v>TAG,,PL2_4228_110_UPS_0220_YAF,"BNR Blower No. 1 UPS Alarm","fbDigital","","(Constant := false, ExternalAccess := Read/Write)"</v>
      </c>
    </row>
    <row r="275" spans="1:14" x14ac:dyDescent="0.25">
      <c r="A275" t="s">
        <v>35</v>
      </c>
      <c r="C275" t="s">
        <v>639</v>
      </c>
      <c r="D275" s="14" t="s">
        <v>753</v>
      </c>
      <c r="E275" s="14" t="s">
        <v>904</v>
      </c>
      <c r="F275" t="s">
        <v>912</v>
      </c>
      <c r="G275" s="14" t="s">
        <v>910</v>
      </c>
      <c r="H275" t="s">
        <v>917</v>
      </c>
      <c r="I275" t="str">
        <f t="shared" si="4"/>
        <v>PL2_4228_110_UPS_0240_JSB</v>
      </c>
      <c r="J275" t="s">
        <v>913</v>
      </c>
      <c r="K275" t="s">
        <v>632</v>
      </c>
      <c r="M275" t="s">
        <v>72</v>
      </c>
      <c r="N275" t="str">
        <f>_xlfn.CONCAT(A275, ",", B275, ",", I275, ",""", J275, """,""", K275, """,""", L275, """,""", M275, """")</f>
        <v>TAG,,PL2_4228_110_UPS_0240_JSB,"BNR Blower No. 2 UPS On Battery","fbDigital","","(Constant := false, ExternalAccess := Read/Write)"</v>
      </c>
    </row>
    <row r="276" spans="1:14" x14ac:dyDescent="0.25">
      <c r="A276" t="s">
        <v>35</v>
      </c>
      <c r="C276" t="s">
        <v>639</v>
      </c>
      <c r="D276" s="14" t="s">
        <v>753</v>
      </c>
      <c r="E276" s="14" t="s">
        <v>904</v>
      </c>
      <c r="F276" t="s">
        <v>912</v>
      </c>
      <c r="G276" s="14" t="s">
        <v>910</v>
      </c>
      <c r="H276" t="s">
        <v>790</v>
      </c>
      <c r="I276" t="str">
        <f t="shared" si="4"/>
        <v>PL2_4228_110_UPS_0240_YAF</v>
      </c>
      <c r="J276" t="s">
        <v>907</v>
      </c>
      <c r="K276" t="s">
        <v>632</v>
      </c>
      <c r="M276" t="s">
        <v>72</v>
      </c>
      <c r="N276" t="str">
        <f>_xlfn.CONCAT(A276, ",", B276, ",", I276, ",""", J276, """,""", K276, """,""", L276, """,""", M276, """")</f>
        <v>TAG,,PL2_4228_110_UPS_0240_YAF,"BNR Blower No. 2 UPS Alarm","fbDigital","","(Constant := false, ExternalAccess := Read/Write)"</v>
      </c>
    </row>
    <row r="277" spans="1:14" x14ac:dyDescent="0.25">
      <c r="A277" t="s">
        <v>35</v>
      </c>
      <c r="C277" t="s">
        <v>639</v>
      </c>
      <c r="D277" s="14" t="s">
        <v>753</v>
      </c>
      <c r="E277" s="14" t="s">
        <v>904</v>
      </c>
      <c r="F277" t="s">
        <v>912</v>
      </c>
      <c r="G277" s="14" t="s">
        <v>911</v>
      </c>
      <c r="H277" t="s">
        <v>917</v>
      </c>
      <c r="I277" t="str">
        <f t="shared" si="4"/>
        <v>PL2_4228_110_UPS_0260_JSB</v>
      </c>
      <c r="J277" t="s">
        <v>914</v>
      </c>
      <c r="K277" t="s">
        <v>632</v>
      </c>
      <c r="M277" t="s">
        <v>72</v>
      </c>
      <c r="N277" t="str">
        <f>_xlfn.CONCAT(A277, ",", B277, ",", I277, ",""", J277, """,""", K277, """,""", L277, """,""", M277, """")</f>
        <v>TAG,,PL2_4228_110_UPS_0260_JSB,"BNR Blower No. 3 UPS On Battery","fbDigital","","(Constant := false, ExternalAccess := Read/Write)"</v>
      </c>
    </row>
    <row r="278" spans="1:14" x14ac:dyDescent="0.25">
      <c r="A278" t="s">
        <v>35</v>
      </c>
      <c r="C278" t="s">
        <v>639</v>
      </c>
      <c r="D278" s="14" t="s">
        <v>753</v>
      </c>
      <c r="E278" s="14" t="s">
        <v>904</v>
      </c>
      <c r="F278" t="s">
        <v>912</v>
      </c>
      <c r="G278" s="14" t="s">
        <v>911</v>
      </c>
      <c r="H278" t="s">
        <v>790</v>
      </c>
      <c r="I278" t="str">
        <f t="shared" si="4"/>
        <v>PL2_4228_110_UPS_0260_YAF</v>
      </c>
      <c r="J278" t="s">
        <v>908</v>
      </c>
      <c r="K278" t="s">
        <v>632</v>
      </c>
      <c r="M278" t="s">
        <v>72</v>
      </c>
      <c r="N278" t="str">
        <f>_xlfn.CONCAT(A278, ",", B278, ",", I278, ",""", J278, """,""", K278, """,""", L278, """,""", M278, """")</f>
        <v>TAG,,PL2_4228_110_UPS_0260_YAF,"BNR Blower No. 3 UPS Alarm","fbDigital","","(Constant := false, ExternalAccess := Read/Write)"</v>
      </c>
    </row>
    <row r="279" spans="1:14" x14ac:dyDescent="0.25">
      <c r="A279" t="s">
        <v>35</v>
      </c>
      <c r="C279" t="s">
        <v>639</v>
      </c>
      <c r="D279" s="14" t="s">
        <v>753</v>
      </c>
      <c r="E279" s="14" t="s">
        <v>904</v>
      </c>
      <c r="F279" t="s">
        <v>912</v>
      </c>
      <c r="G279" s="14" t="s">
        <v>905</v>
      </c>
      <c r="H279" t="s">
        <v>917</v>
      </c>
      <c r="I279" t="str">
        <f t="shared" si="4"/>
        <v>PL2_4228_110_UPS_0280_JSB</v>
      </c>
      <c r="J279" t="s">
        <v>915</v>
      </c>
      <c r="K279" t="s">
        <v>632</v>
      </c>
      <c r="M279" t="s">
        <v>72</v>
      </c>
      <c r="N279" t="str">
        <f>_xlfn.CONCAT(A279, ",", B279, ",", I279, ",""", J279, """,""", K279, """,""", L279, """,""", M279, """")</f>
        <v>TAG,,PL2_4228_110_UPS_0280_JSB,"BNR Blower No. 4 UPS On Battery","fbDigital","","(Constant := false, ExternalAccess := Read/Write)"</v>
      </c>
    </row>
    <row r="280" spans="1:14" x14ac:dyDescent="0.25">
      <c r="A280" t="s">
        <v>35</v>
      </c>
      <c r="C280" t="s">
        <v>639</v>
      </c>
      <c r="D280" s="14" t="s">
        <v>753</v>
      </c>
      <c r="E280" s="14" t="s">
        <v>904</v>
      </c>
      <c r="F280" t="s">
        <v>912</v>
      </c>
      <c r="G280" s="14" t="s">
        <v>905</v>
      </c>
      <c r="H280" t="s">
        <v>790</v>
      </c>
      <c r="I280" t="str">
        <f t="shared" si="4"/>
        <v>PL2_4228_110_UPS_0280_YAF</v>
      </c>
      <c r="J280" t="s">
        <v>909</v>
      </c>
      <c r="K280" t="s">
        <v>632</v>
      </c>
      <c r="M280" t="s">
        <v>72</v>
      </c>
      <c r="N280" t="str">
        <f>_xlfn.CONCAT(A280, ",", B280, ",", I280, ",""", J280, """,""", K280, """,""", L280, """,""", M280, """")</f>
        <v>TAG,,PL2_4228_110_UPS_0280_YAF,"BNR Blower No. 4 UPS Alarm","fbDigital","","(Constant := false, ExternalAccess := Read/Write)"</v>
      </c>
    </row>
    <row r="281" spans="1:14" x14ac:dyDescent="0.25">
      <c r="A281" t="s">
        <v>35</v>
      </c>
      <c r="C281" t="s">
        <v>639</v>
      </c>
      <c r="D281" s="14" t="s">
        <v>753</v>
      </c>
      <c r="E281" s="14" t="s">
        <v>904</v>
      </c>
      <c r="F281" t="s">
        <v>918</v>
      </c>
      <c r="G281" s="14" t="s">
        <v>919</v>
      </c>
      <c r="H281" t="s">
        <v>790</v>
      </c>
      <c r="I281" t="str">
        <f t="shared" si="4"/>
        <v>PL2_4228_110_VFD_0210_YAF</v>
      </c>
      <c r="J281" t="s">
        <v>944</v>
      </c>
      <c r="K281" t="s">
        <v>632</v>
      </c>
      <c r="M281" t="s">
        <v>72</v>
      </c>
      <c r="N281" t="str">
        <f>_xlfn.CONCAT(A281, ",", B281, ",", I281, ",""", J281, """,""", K281, """,""", L281, """,""", M281, """")</f>
        <v>TAG,,PL2_4228_110_VFD_0210_YAF,"BNR Blower No. 1 Core 1 VFD Fault","fbDigital","","(Constant := false, ExternalAccess := Read/Write)"</v>
      </c>
    </row>
    <row r="282" spans="1:14" x14ac:dyDescent="0.25">
      <c r="A282" t="s">
        <v>35</v>
      </c>
      <c r="C282" t="s">
        <v>639</v>
      </c>
      <c r="D282" s="14" t="s">
        <v>753</v>
      </c>
      <c r="E282" s="14" t="s">
        <v>904</v>
      </c>
      <c r="F282" t="s">
        <v>918</v>
      </c>
      <c r="G282" s="14" t="s">
        <v>906</v>
      </c>
      <c r="H282" t="s">
        <v>790</v>
      </c>
      <c r="I282" t="str">
        <f t="shared" si="4"/>
        <v>PL2_4228_110_VFD_0220_YAF</v>
      </c>
      <c r="J282" t="s">
        <v>937</v>
      </c>
      <c r="K282" t="s">
        <v>632</v>
      </c>
      <c r="M282" t="s">
        <v>72</v>
      </c>
      <c r="N282" t="str">
        <f>_xlfn.CONCAT(A282, ",", B282, ",", I282, ",""", J282, """,""", K282, """,""", L282, """,""", M282, """")</f>
        <v>TAG,,PL2_4228_110_VFD_0220_YAF,"BNR Blower No. 1 Core 2 VFD Fault","fbDigital","","(Constant := false, ExternalAccess := Read/Write)"</v>
      </c>
    </row>
    <row r="283" spans="1:14" x14ac:dyDescent="0.25">
      <c r="A283" t="s">
        <v>35</v>
      </c>
      <c r="C283" t="s">
        <v>639</v>
      </c>
      <c r="D283" s="14" t="s">
        <v>753</v>
      </c>
      <c r="E283" s="14" t="s">
        <v>904</v>
      </c>
      <c r="F283" t="s">
        <v>918</v>
      </c>
      <c r="G283" s="14" t="s">
        <v>920</v>
      </c>
      <c r="H283" t="s">
        <v>790</v>
      </c>
      <c r="I283" t="str">
        <f t="shared" si="4"/>
        <v>PL2_4228_110_VFD_0230_YAF</v>
      </c>
      <c r="J283" t="s">
        <v>938</v>
      </c>
      <c r="K283" t="s">
        <v>632</v>
      </c>
      <c r="M283" t="s">
        <v>72</v>
      </c>
      <c r="N283" t="str">
        <f>_xlfn.CONCAT(A283, ",", B283, ",", I283, ",""", J283, """,""", K283, """,""", L283, """,""", M283, """")</f>
        <v>TAG,,PL2_4228_110_VFD_0230_YAF,"BNR Blower No. 2 Core 1 VFD Fault","fbDigital","","(Constant := false, ExternalAccess := Read/Write)"</v>
      </c>
    </row>
    <row r="284" spans="1:14" x14ac:dyDescent="0.25">
      <c r="A284" t="s">
        <v>35</v>
      </c>
      <c r="C284" t="s">
        <v>639</v>
      </c>
      <c r="D284" s="14" t="s">
        <v>753</v>
      </c>
      <c r="E284" s="14" t="s">
        <v>904</v>
      </c>
      <c r="F284" t="s">
        <v>918</v>
      </c>
      <c r="G284" s="14" t="s">
        <v>910</v>
      </c>
      <c r="H284" t="s">
        <v>790</v>
      </c>
      <c r="I284" t="str">
        <f t="shared" si="4"/>
        <v>PL2_4228_110_VFD_0240_YAF</v>
      </c>
      <c r="J284" t="s">
        <v>939</v>
      </c>
      <c r="K284" t="s">
        <v>632</v>
      </c>
      <c r="M284" t="s">
        <v>72</v>
      </c>
      <c r="N284" t="str">
        <f>_xlfn.CONCAT(A284, ",", B284, ",", I284, ",""", J284, """,""", K284, """,""", L284, """,""", M284, """")</f>
        <v>TAG,,PL2_4228_110_VFD_0240_YAF,"BNR Blower No. 2 Core 2 VFD Fault","fbDigital","","(Constant := false, ExternalAccess := Read/Write)"</v>
      </c>
    </row>
    <row r="285" spans="1:14" x14ac:dyDescent="0.25">
      <c r="A285" t="s">
        <v>35</v>
      </c>
      <c r="C285" t="s">
        <v>639</v>
      </c>
      <c r="D285" s="14" t="s">
        <v>753</v>
      </c>
      <c r="E285" s="14" t="s">
        <v>904</v>
      </c>
      <c r="F285" t="s">
        <v>918</v>
      </c>
      <c r="G285" s="14" t="s">
        <v>921</v>
      </c>
      <c r="H285" t="s">
        <v>790</v>
      </c>
      <c r="I285" t="str">
        <f t="shared" si="4"/>
        <v>PL2_4228_110_VFD_0250_YAF</v>
      </c>
      <c r="J285" t="s">
        <v>940</v>
      </c>
      <c r="K285" t="s">
        <v>632</v>
      </c>
      <c r="M285" t="s">
        <v>72</v>
      </c>
      <c r="N285" t="str">
        <f>_xlfn.CONCAT(A285, ",", B285, ",", I285, ",""", J285, """,""", K285, """,""", L285, """,""", M285, """")</f>
        <v>TAG,,PL2_4228_110_VFD_0250_YAF,"BNR Blower No. 3 Core 1 VFD Fault","fbDigital","","(Constant := false, ExternalAccess := Read/Write)"</v>
      </c>
    </row>
    <row r="286" spans="1:14" x14ac:dyDescent="0.25">
      <c r="A286" t="s">
        <v>35</v>
      </c>
      <c r="C286" t="s">
        <v>639</v>
      </c>
      <c r="D286" s="14" t="s">
        <v>753</v>
      </c>
      <c r="E286" s="14" t="s">
        <v>904</v>
      </c>
      <c r="F286" t="s">
        <v>918</v>
      </c>
      <c r="G286" s="14" t="s">
        <v>911</v>
      </c>
      <c r="H286" t="s">
        <v>790</v>
      </c>
      <c r="I286" t="str">
        <f t="shared" si="4"/>
        <v>PL2_4228_110_VFD_0260_YAF</v>
      </c>
      <c r="J286" t="s">
        <v>941</v>
      </c>
      <c r="K286" t="s">
        <v>632</v>
      </c>
      <c r="M286" t="s">
        <v>72</v>
      </c>
      <c r="N286" t="str">
        <f>_xlfn.CONCAT(A286, ",", B286, ",", I286, ",""", J286, """,""", K286, """,""", L286, """,""", M286, """")</f>
        <v>TAG,,PL2_4228_110_VFD_0260_YAF,"BNR Blower No. 3 Core 2 VFD Fault","fbDigital","","(Constant := false, ExternalAccess := Read/Write)"</v>
      </c>
    </row>
    <row r="287" spans="1:14" x14ac:dyDescent="0.25">
      <c r="A287" t="s">
        <v>35</v>
      </c>
      <c r="C287" t="s">
        <v>639</v>
      </c>
      <c r="D287" s="14" t="s">
        <v>753</v>
      </c>
      <c r="E287" s="14" t="s">
        <v>904</v>
      </c>
      <c r="F287" t="s">
        <v>918</v>
      </c>
      <c r="G287" s="14" t="s">
        <v>922</v>
      </c>
      <c r="H287" t="s">
        <v>790</v>
      </c>
      <c r="I287" t="str">
        <f t="shared" si="4"/>
        <v>PL2_4228_110_VFD_0270_YAF</v>
      </c>
      <c r="J287" t="s">
        <v>942</v>
      </c>
      <c r="K287" t="s">
        <v>632</v>
      </c>
      <c r="M287" t="s">
        <v>72</v>
      </c>
      <c r="N287" t="str">
        <f>_xlfn.CONCAT(A287, ",", B287, ",", I287, ",""", J287, """,""", K287, """,""", L287, """,""", M287, """")</f>
        <v>TAG,,PL2_4228_110_VFD_0270_YAF,"BNR Blower No. 4 Core 1 VFD Fault","fbDigital","","(Constant := false, ExternalAccess := Read/Write)"</v>
      </c>
    </row>
    <row r="288" spans="1:14" x14ac:dyDescent="0.25">
      <c r="A288" t="s">
        <v>35</v>
      </c>
      <c r="C288" t="s">
        <v>639</v>
      </c>
      <c r="D288" s="14" t="s">
        <v>753</v>
      </c>
      <c r="E288" s="14" t="s">
        <v>904</v>
      </c>
      <c r="F288" t="s">
        <v>918</v>
      </c>
      <c r="G288" s="14" t="s">
        <v>905</v>
      </c>
      <c r="H288" t="s">
        <v>790</v>
      </c>
      <c r="I288" t="str">
        <f t="shared" si="4"/>
        <v>PL2_4228_110_VFD_0280_YAF</v>
      </c>
      <c r="J288" t="s">
        <v>943</v>
      </c>
      <c r="K288" t="s">
        <v>632</v>
      </c>
      <c r="M288" t="s">
        <v>72</v>
      </c>
      <c r="N288" t="str">
        <f>_xlfn.CONCAT(A288, ",", B288, ",", I288, ",""", J288, """,""", K288, """,""", L288, """,""", M288, """")</f>
        <v>TAG,,PL2_4228_110_VFD_0280_YAF,"BNR Blower No. 4 Core 2 VFD Fault","fbDigital","","(Constant := false, ExternalAccess := Read/Write)"</v>
      </c>
    </row>
    <row r="289" spans="1:14" x14ac:dyDescent="0.25">
      <c r="A289" t="s">
        <v>35</v>
      </c>
      <c r="C289" t="s">
        <v>639</v>
      </c>
      <c r="D289" s="14" t="s">
        <v>753</v>
      </c>
      <c r="E289" s="14" t="s">
        <v>768</v>
      </c>
      <c r="F289" t="s">
        <v>769</v>
      </c>
      <c r="G289" s="14" t="s">
        <v>770</v>
      </c>
      <c r="I289" t="str">
        <f t="shared" si="4"/>
        <v>PL2_4228_321_BLR_0213</v>
      </c>
      <c r="J289" t="s">
        <v>777</v>
      </c>
      <c r="K289" t="s">
        <v>710</v>
      </c>
      <c r="M289" t="s">
        <v>72</v>
      </c>
      <c r="N289" t="str">
        <f>_xlfn.CONCAT(A289, ",", B289, ",", I289, ",""", J289, """,""", K289, """,""", L289, """,""", M289, """")</f>
        <v>TAG,,PL2_4228_321_BLR_0213,"BNR Blower No. 1 Core 1","fbMotor","","(Constant := false, ExternalAccess := Read/Write)"</v>
      </c>
    </row>
    <row r="290" spans="1:14" x14ac:dyDescent="0.25">
      <c r="A290" t="s">
        <v>35</v>
      </c>
      <c r="C290" t="s">
        <v>639</v>
      </c>
      <c r="D290" s="14" t="s">
        <v>753</v>
      </c>
      <c r="E290" s="14" t="s">
        <v>768</v>
      </c>
      <c r="F290" t="s">
        <v>769</v>
      </c>
      <c r="G290" s="14" t="s">
        <v>770</v>
      </c>
      <c r="H290" t="s">
        <v>649</v>
      </c>
      <c r="I290" t="str">
        <f t="shared" si="4"/>
        <v>PL2_4228_321_BLR_0213_SI</v>
      </c>
      <c r="J290" t="s">
        <v>788</v>
      </c>
      <c r="K290" t="s">
        <v>66</v>
      </c>
      <c r="M290" t="s">
        <v>74</v>
      </c>
      <c r="N290" t="str">
        <f>_xlfn.CONCAT(A290, ",", B290, ",", I290, ",""", J290, """,""", K290, """,""", L290, """,""", M290, """")</f>
        <v>TAG,,PL2_4228_321_BLR_0213_SI,"BNR Blower No. 1 Core 1 Speed Feedback","REAL","","(RADIX := Float, Constant := false, ExternalAccess := Read/Write)"</v>
      </c>
    </row>
    <row r="291" spans="1:14" x14ac:dyDescent="0.25">
      <c r="A291" t="s">
        <v>35</v>
      </c>
      <c r="C291" t="s">
        <v>639</v>
      </c>
      <c r="D291" s="14" t="s">
        <v>753</v>
      </c>
      <c r="E291" s="14" t="s">
        <v>768</v>
      </c>
      <c r="F291" t="s">
        <v>769</v>
      </c>
      <c r="G291" s="14" t="s">
        <v>770</v>
      </c>
      <c r="H291" t="s">
        <v>792</v>
      </c>
      <c r="I291" t="str">
        <f t="shared" si="4"/>
        <v>PL2_4228_321_BLR_0213_YAE</v>
      </c>
      <c r="J291" t="s">
        <v>787</v>
      </c>
      <c r="K291" t="s">
        <v>632</v>
      </c>
      <c r="M291" t="s">
        <v>72</v>
      </c>
      <c r="N291" t="str">
        <f>_xlfn.CONCAT(A291, ",", B291, ",", I291, ",""", J291, """,""", K291, """,""", L291, """,""", M291, """")</f>
        <v>TAG,,PL2_4228_321_BLR_0213_YAE,"BNR Blower No. 1 Core 1 E-Stop","fbDigital","","(Constant := false, ExternalAccess := Read/Write)"</v>
      </c>
    </row>
    <row r="292" spans="1:14" x14ac:dyDescent="0.25">
      <c r="A292" t="s">
        <v>35</v>
      </c>
      <c r="C292" t="s">
        <v>639</v>
      </c>
      <c r="D292" s="14" t="s">
        <v>753</v>
      </c>
      <c r="E292" s="14" t="s">
        <v>768</v>
      </c>
      <c r="F292" t="s">
        <v>769</v>
      </c>
      <c r="G292" s="14" t="s">
        <v>770</v>
      </c>
      <c r="H292" t="s">
        <v>790</v>
      </c>
      <c r="I292" t="str">
        <f t="shared" si="4"/>
        <v>PL2_4228_321_BLR_0213_YAF</v>
      </c>
      <c r="J292" t="s">
        <v>786</v>
      </c>
      <c r="K292" t="s">
        <v>632</v>
      </c>
      <c r="M292" t="s">
        <v>72</v>
      </c>
      <c r="N292" t="str">
        <f>_xlfn.CONCAT(A292, ",", B292, ",", I292, ",""", J292, """,""", K292, """,""", L292, """,""", M292, """")</f>
        <v>TAG,,PL2_4228_321_BLR_0213_YAF,"BNR Blower No. 1 Core 1 Fault","fbDigital","","(Constant := false, ExternalAccess := Read/Write)"</v>
      </c>
    </row>
    <row r="293" spans="1:14" x14ac:dyDescent="0.25">
      <c r="A293" t="s">
        <v>35</v>
      </c>
      <c r="C293" t="s">
        <v>639</v>
      </c>
      <c r="D293" s="14" t="s">
        <v>753</v>
      </c>
      <c r="E293" s="14" t="s">
        <v>768</v>
      </c>
      <c r="F293" t="s">
        <v>769</v>
      </c>
      <c r="G293" s="14" t="s">
        <v>770</v>
      </c>
      <c r="H293" t="s">
        <v>645</v>
      </c>
      <c r="I293" t="str">
        <f t="shared" si="4"/>
        <v>PL2_4228_321_BLR_0213_YCI</v>
      </c>
      <c r="J293" t="s">
        <v>789</v>
      </c>
      <c r="K293" t="s">
        <v>44</v>
      </c>
      <c r="M293" t="s">
        <v>73</v>
      </c>
      <c r="N293" t="str">
        <f>_xlfn.CONCAT(A293, ",", B293, ",", I293, ",""", J293, """,""", K293, """,""", L293, """,""", M293, """")</f>
        <v>TAG,,PL2_4228_321_BLR_0213_YCI,"BNR Blower No. 1 Core 1 In Remote","BOOL","","(RADIX := Decimal, Constant := false, ExternalAccess := Read/Write)"</v>
      </c>
    </row>
    <row r="294" spans="1:14" x14ac:dyDescent="0.25">
      <c r="A294" t="s">
        <v>35</v>
      </c>
      <c r="C294" t="s">
        <v>639</v>
      </c>
      <c r="D294" s="14" t="s">
        <v>753</v>
      </c>
      <c r="E294" s="14" t="s">
        <v>768</v>
      </c>
      <c r="F294" t="s">
        <v>769</v>
      </c>
      <c r="G294" s="14" t="s">
        <v>770</v>
      </c>
      <c r="H294" t="s">
        <v>791</v>
      </c>
      <c r="I294" t="str">
        <f t="shared" si="4"/>
        <v>PL2_4228_321_BLR_0213_YRI</v>
      </c>
      <c r="J294" t="s">
        <v>785</v>
      </c>
      <c r="K294" t="s">
        <v>44</v>
      </c>
      <c r="M294" t="s">
        <v>73</v>
      </c>
      <c r="N294" t="str">
        <f>_xlfn.CONCAT(A294, ",", B294, ",", I294, ",""", J294, """,""", K294, """,""", L294, """,""", M294, """")</f>
        <v>TAG,,PL2_4228_321_BLR_0213_YRI,"BNR Blower No. 1 Core 1 Running","BOOL","","(RADIX := Decimal, Constant := false, ExternalAccess := Read/Write)"</v>
      </c>
    </row>
    <row r="295" spans="1:14" x14ac:dyDescent="0.25">
      <c r="A295" t="s">
        <v>35</v>
      </c>
      <c r="C295" t="s">
        <v>639</v>
      </c>
      <c r="D295" s="14" t="s">
        <v>753</v>
      </c>
      <c r="E295" s="14" t="s">
        <v>768</v>
      </c>
      <c r="F295" t="s">
        <v>769</v>
      </c>
      <c r="G295" s="14" t="s">
        <v>906</v>
      </c>
      <c r="H295" t="s">
        <v>648</v>
      </c>
      <c r="I295" t="str">
        <f t="shared" si="4"/>
        <v>PL2_4228_321_BLR_0220_HSS</v>
      </c>
      <c r="J295" t="s">
        <v>1370</v>
      </c>
      <c r="K295" t="s">
        <v>44</v>
      </c>
      <c r="M295" t="s">
        <v>73</v>
      </c>
      <c r="N295" t="str">
        <f>_xlfn.CONCAT(A295, ",", B295, ",", I295, ",""", J295, """,""", K295, """,""", L295, """,""", M295, """")</f>
        <v>TAG,,PL2_4228_321_BLR_0220_HSS,"BNR Blower No. 1 Start / Stop Command","BOOL","","(RADIX := Decimal, Constant := false, ExternalAccess := Read/Write)"</v>
      </c>
    </row>
    <row r="296" spans="1:14" x14ac:dyDescent="0.25">
      <c r="A296" t="s">
        <v>35</v>
      </c>
      <c r="C296" t="s">
        <v>639</v>
      </c>
      <c r="D296" s="14" t="s">
        <v>753</v>
      </c>
      <c r="E296" s="14" t="s">
        <v>768</v>
      </c>
      <c r="F296" t="s">
        <v>769</v>
      </c>
      <c r="G296" s="14" t="s">
        <v>906</v>
      </c>
      <c r="H296" t="s">
        <v>650</v>
      </c>
      <c r="I296" t="str">
        <f t="shared" si="4"/>
        <v>PL2_4228_321_BLR_0220_SC</v>
      </c>
      <c r="J296" t="s">
        <v>1366</v>
      </c>
      <c r="K296" t="s">
        <v>66</v>
      </c>
      <c r="M296" t="s">
        <v>74</v>
      </c>
      <c r="N296" t="str">
        <f>_xlfn.CONCAT(A296, ",", B296, ",", I296, ",""", J296, """,""", K296, """,""", L296, """,""", M296, """")</f>
        <v>TAG,,PL2_4228_321_BLR_0220_SC,"BNR Blower No. 1 Speed Setpoint","REAL","","(RADIX := Float, Constant := false, ExternalAccess := Read/Write)"</v>
      </c>
    </row>
    <row r="297" spans="1:14" x14ac:dyDescent="0.25">
      <c r="A297" t="s">
        <v>35</v>
      </c>
      <c r="C297" t="s">
        <v>639</v>
      </c>
      <c r="D297" s="14" t="s">
        <v>753</v>
      </c>
      <c r="E297" s="14" t="s">
        <v>768</v>
      </c>
      <c r="F297" t="s">
        <v>769</v>
      </c>
      <c r="G297" s="14" t="s">
        <v>771</v>
      </c>
      <c r="I297" t="str">
        <f t="shared" si="4"/>
        <v>PL2_4228_321_BLR_0223</v>
      </c>
      <c r="J297" t="s">
        <v>778</v>
      </c>
      <c r="K297" t="s">
        <v>710</v>
      </c>
      <c r="M297" t="s">
        <v>72</v>
      </c>
      <c r="N297" t="str">
        <f>_xlfn.CONCAT(A297, ",", B297, ",", I297, ",""", J297, """,""", K297, """,""", L297, """,""", M297, """")</f>
        <v>TAG,,PL2_4228_321_BLR_0223,"BNR Blower No. 1 Core 2","fbMotor","","(Constant := false, ExternalAccess := Read/Write)"</v>
      </c>
    </row>
    <row r="298" spans="1:14" x14ac:dyDescent="0.25">
      <c r="A298" t="s">
        <v>35</v>
      </c>
      <c r="C298" t="s">
        <v>639</v>
      </c>
      <c r="D298" s="14" t="s">
        <v>753</v>
      </c>
      <c r="E298" s="14" t="s">
        <v>768</v>
      </c>
      <c r="F298" t="s">
        <v>769</v>
      </c>
      <c r="G298" s="14" t="s">
        <v>771</v>
      </c>
      <c r="H298" t="s">
        <v>649</v>
      </c>
      <c r="I298" t="str">
        <f t="shared" si="4"/>
        <v>PL2_4228_321_BLR_0223_SI</v>
      </c>
      <c r="J298" t="s">
        <v>813</v>
      </c>
      <c r="K298" t="s">
        <v>66</v>
      </c>
      <c r="M298" t="s">
        <v>74</v>
      </c>
      <c r="N298" t="str">
        <f>_xlfn.CONCAT(A298, ",", B298, ",", I298, ",""", J298, """,""", K298, """,""", L298, """,""", M298, """")</f>
        <v>TAG,,PL2_4228_321_BLR_0223_SI,"BNR Blower No. 1 Core 2 Speed Feedback","REAL","","(RADIX := Float, Constant := false, ExternalAccess := Read/Write)"</v>
      </c>
    </row>
    <row r="299" spans="1:14" x14ac:dyDescent="0.25">
      <c r="A299" t="s">
        <v>35</v>
      </c>
      <c r="C299" t="s">
        <v>639</v>
      </c>
      <c r="D299" s="14" t="s">
        <v>753</v>
      </c>
      <c r="E299" s="14" t="s">
        <v>768</v>
      </c>
      <c r="F299" t="s">
        <v>769</v>
      </c>
      <c r="G299" s="14" t="s">
        <v>771</v>
      </c>
      <c r="H299" t="s">
        <v>792</v>
      </c>
      <c r="I299" t="str">
        <f t="shared" si="4"/>
        <v>PL2_4228_321_BLR_0223_YAE</v>
      </c>
      <c r="J299" t="s">
        <v>812</v>
      </c>
      <c r="K299" t="s">
        <v>632</v>
      </c>
      <c r="M299" t="s">
        <v>72</v>
      </c>
      <c r="N299" t="str">
        <f>_xlfn.CONCAT(A299, ",", B299, ",", I299, ",""", J299, """,""", K299, """,""", L299, """,""", M299, """")</f>
        <v>TAG,,PL2_4228_321_BLR_0223_YAE,"BNR Blower No. 1 Core 2 E-Stop","fbDigital","","(Constant := false, ExternalAccess := Read/Write)"</v>
      </c>
    </row>
    <row r="300" spans="1:14" x14ac:dyDescent="0.25">
      <c r="A300" t="s">
        <v>35</v>
      </c>
      <c r="C300" t="s">
        <v>639</v>
      </c>
      <c r="D300" s="14" t="s">
        <v>753</v>
      </c>
      <c r="E300" s="14" t="s">
        <v>768</v>
      </c>
      <c r="F300" t="s">
        <v>769</v>
      </c>
      <c r="G300" s="14" t="s">
        <v>771</v>
      </c>
      <c r="H300" t="s">
        <v>790</v>
      </c>
      <c r="I300" t="str">
        <f t="shared" si="4"/>
        <v>PL2_4228_321_BLR_0223_YAF</v>
      </c>
      <c r="J300" t="s">
        <v>811</v>
      </c>
      <c r="K300" t="s">
        <v>632</v>
      </c>
      <c r="M300" t="s">
        <v>72</v>
      </c>
      <c r="N300" t="str">
        <f>_xlfn.CONCAT(A300, ",", B300, ",", I300, ",""", J300, """,""", K300, """,""", L300, """,""", M300, """")</f>
        <v>TAG,,PL2_4228_321_BLR_0223_YAF,"BNR Blower No. 1 Core 2 Fault","fbDigital","","(Constant := false, ExternalAccess := Read/Write)"</v>
      </c>
    </row>
    <row r="301" spans="1:14" x14ac:dyDescent="0.25">
      <c r="A301" t="s">
        <v>35</v>
      </c>
      <c r="C301" t="s">
        <v>639</v>
      </c>
      <c r="D301" s="14" t="s">
        <v>753</v>
      </c>
      <c r="E301" s="14" t="s">
        <v>768</v>
      </c>
      <c r="F301" t="s">
        <v>769</v>
      </c>
      <c r="G301" s="14" t="s">
        <v>771</v>
      </c>
      <c r="H301" t="s">
        <v>645</v>
      </c>
      <c r="I301" t="str">
        <f t="shared" si="4"/>
        <v>PL2_4228_321_BLR_0223_YCI</v>
      </c>
      <c r="J301" t="s">
        <v>809</v>
      </c>
      <c r="K301" t="s">
        <v>44</v>
      </c>
      <c r="M301" t="s">
        <v>73</v>
      </c>
      <c r="N301" t="str">
        <f>_xlfn.CONCAT(A301, ",", B301, ",", I301, ",""", J301, """,""", K301, """,""", L301, """,""", M301, """")</f>
        <v>TAG,,PL2_4228_321_BLR_0223_YCI,"BNR Blower No. 1 Core 2 In Remote","BOOL","","(RADIX := Decimal, Constant := false, ExternalAccess := Read/Write)"</v>
      </c>
    </row>
    <row r="302" spans="1:14" x14ac:dyDescent="0.25">
      <c r="A302" t="s">
        <v>35</v>
      </c>
      <c r="C302" t="s">
        <v>639</v>
      </c>
      <c r="D302" s="14" t="s">
        <v>753</v>
      </c>
      <c r="E302" s="14" t="s">
        <v>768</v>
      </c>
      <c r="F302" t="s">
        <v>769</v>
      </c>
      <c r="G302" s="14" t="s">
        <v>771</v>
      </c>
      <c r="H302" t="s">
        <v>791</v>
      </c>
      <c r="I302" t="str">
        <f t="shared" si="4"/>
        <v>PL2_4228_321_BLR_0223_YRI</v>
      </c>
      <c r="J302" t="s">
        <v>810</v>
      </c>
      <c r="K302" t="s">
        <v>44</v>
      </c>
      <c r="M302" t="s">
        <v>73</v>
      </c>
      <c r="N302" t="str">
        <f>_xlfn.CONCAT(A302, ",", B302, ",", I302, ",""", J302, """,""", K302, """,""", L302, """,""", M302, """")</f>
        <v>TAG,,PL2_4228_321_BLR_0223_YRI,"BNR Blower No. 1 Core 2 Running","BOOL","","(RADIX := Decimal, Constant := false, ExternalAccess := Read/Write)"</v>
      </c>
    </row>
    <row r="303" spans="1:14" x14ac:dyDescent="0.25">
      <c r="A303" t="s">
        <v>35</v>
      </c>
      <c r="C303" t="s">
        <v>639</v>
      </c>
      <c r="D303" s="14" t="s">
        <v>753</v>
      </c>
      <c r="E303" s="14" t="s">
        <v>768</v>
      </c>
      <c r="F303" t="s">
        <v>769</v>
      </c>
      <c r="G303" s="14" t="s">
        <v>727</v>
      </c>
      <c r="I303" t="str">
        <f t="shared" si="4"/>
        <v>PL2_4228_321_BLR_0233</v>
      </c>
      <c r="J303" t="s">
        <v>780</v>
      </c>
      <c r="K303" t="s">
        <v>710</v>
      </c>
      <c r="M303" t="s">
        <v>72</v>
      </c>
      <c r="N303" t="str">
        <f>_xlfn.CONCAT(A303, ",", B303, ",", I303, ",""", J303, """,""", K303, """,""", L303, """,""", M303, """")</f>
        <v>TAG,,PL2_4228_321_BLR_0233,"BNR Blower No. 2 Core 1","fbMotor","","(Constant := false, ExternalAccess := Read/Write)"</v>
      </c>
    </row>
    <row r="304" spans="1:14" x14ac:dyDescent="0.25">
      <c r="A304" t="s">
        <v>35</v>
      </c>
      <c r="C304" t="s">
        <v>639</v>
      </c>
      <c r="D304" s="14" t="s">
        <v>753</v>
      </c>
      <c r="E304" s="14" t="s">
        <v>768</v>
      </c>
      <c r="F304" t="s">
        <v>769</v>
      </c>
      <c r="G304" s="14" t="s">
        <v>727</v>
      </c>
      <c r="H304" t="s">
        <v>649</v>
      </c>
      <c r="I304" t="str">
        <f t="shared" si="4"/>
        <v>PL2_4228_321_BLR_0233_SI</v>
      </c>
      <c r="J304" t="s">
        <v>835</v>
      </c>
      <c r="K304" t="s">
        <v>66</v>
      </c>
      <c r="M304" t="s">
        <v>74</v>
      </c>
      <c r="N304" t="str">
        <f>_xlfn.CONCAT(A304, ",", B304, ",", I304, ",""", J304, """,""", K304, """,""", L304, """,""", M304, """")</f>
        <v>TAG,,PL2_4228_321_BLR_0233_SI,"BNR Blower No. 2 Core 1 Speed Feedback","REAL","","(RADIX := Float, Constant := false, ExternalAccess := Read/Write)"</v>
      </c>
    </row>
    <row r="305" spans="1:14" x14ac:dyDescent="0.25">
      <c r="A305" t="s">
        <v>35</v>
      </c>
      <c r="C305" t="s">
        <v>639</v>
      </c>
      <c r="D305" s="14" t="s">
        <v>753</v>
      </c>
      <c r="E305" s="14" t="s">
        <v>768</v>
      </c>
      <c r="F305" t="s">
        <v>769</v>
      </c>
      <c r="G305" s="14" t="s">
        <v>727</v>
      </c>
      <c r="H305" t="s">
        <v>792</v>
      </c>
      <c r="I305" t="str">
        <f t="shared" si="4"/>
        <v>PL2_4228_321_BLR_0233_YAE</v>
      </c>
      <c r="J305" t="s">
        <v>834</v>
      </c>
      <c r="K305" t="s">
        <v>632</v>
      </c>
      <c r="M305" t="s">
        <v>72</v>
      </c>
      <c r="N305" t="str">
        <f>_xlfn.CONCAT(A305, ",", B305, ",", I305, ",""", J305, """,""", K305, """,""", L305, """,""", M305, """")</f>
        <v>TAG,,PL2_4228_321_BLR_0233_YAE,"BNR Blower No. 2 Core 1 E-Stop","fbDigital","","(Constant := false, ExternalAccess := Read/Write)"</v>
      </c>
    </row>
    <row r="306" spans="1:14" x14ac:dyDescent="0.25">
      <c r="A306" t="s">
        <v>35</v>
      </c>
      <c r="C306" t="s">
        <v>639</v>
      </c>
      <c r="D306" s="14" t="s">
        <v>753</v>
      </c>
      <c r="E306" s="14" t="s">
        <v>768</v>
      </c>
      <c r="F306" t="s">
        <v>769</v>
      </c>
      <c r="G306" s="14" t="s">
        <v>727</v>
      </c>
      <c r="H306" t="s">
        <v>790</v>
      </c>
      <c r="I306" t="str">
        <f t="shared" si="4"/>
        <v>PL2_4228_321_BLR_0233_YAF</v>
      </c>
      <c r="J306" t="s">
        <v>833</v>
      </c>
      <c r="K306" t="s">
        <v>632</v>
      </c>
      <c r="M306" t="s">
        <v>72</v>
      </c>
      <c r="N306" t="str">
        <f>_xlfn.CONCAT(A306, ",", B306, ",", I306, ",""", J306, """,""", K306, """,""", L306, """,""", M306, """")</f>
        <v>TAG,,PL2_4228_321_BLR_0233_YAF,"BNR Blower No. 2 Core 1 Fault","fbDigital","","(Constant := false, ExternalAccess := Read/Write)"</v>
      </c>
    </row>
    <row r="307" spans="1:14" x14ac:dyDescent="0.25">
      <c r="A307" t="s">
        <v>35</v>
      </c>
      <c r="C307" t="s">
        <v>639</v>
      </c>
      <c r="D307" s="14" t="s">
        <v>753</v>
      </c>
      <c r="E307" s="14" t="s">
        <v>768</v>
      </c>
      <c r="F307" t="s">
        <v>769</v>
      </c>
      <c r="G307" s="14" t="s">
        <v>727</v>
      </c>
      <c r="H307" t="s">
        <v>645</v>
      </c>
      <c r="I307" t="str">
        <f t="shared" si="4"/>
        <v>PL2_4228_321_BLR_0233_YCI</v>
      </c>
      <c r="J307" t="s">
        <v>831</v>
      </c>
      <c r="K307" t="s">
        <v>44</v>
      </c>
      <c r="M307" t="s">
        <v>73</v>
      </c>
      <c r="N307" t="str">
        <f>_xlfn.CONCAT(A307, ",", B307, ",", I307, ",""", J307, """,""", K307, """,""", L307, """,""", M307, """")</f>
        <v>TAG,,PL2_4228_321_BLR_0233_YCI,"BNR Blower No. 2 Core 1 In Remote","BOOL","","(RADIX := Decimal, Constant := false, ExternalAccess := Read/Write)"</v>
      </c>
    </row>
    <row r="308" spans="1:14" x14ac:dyDescent="0.25">
      <c r="A308" t="s">
        <v>35</v>
      </c>
      <c r="C308" t="s">
        <v>639</v>
      </c>
      <c r="D308" s="14" t="s">
        <v>753</v>
      </c>
      <c r="E308" s="14" t="s">
        <v>768</v>
      </c>
      <c r="F308" t="s">
        <v>769</v>
      </c>
      <c r="G308" s="14" t="s">
        <v>727</v>
      </c>
      <c r="H308" t="s">
        <v>791</v>
      </c>
      <c r="I308" t="str">
        <f t="shared" si="4"/>
        <v>PL2_4228_321_BLR_0233_YRI</v>
      </c>
      <c r="J308" t="s">
        <v>832</v>
      </c>
      <c r="K308" t="s">
        <v>44</v>
      </c>
      <c r="M308" t="s">
        <v>73</v>
      </c>
      <c r="N308" t="str">
        <f>_xlfn.CONCAT(A308, ",", B308, ",", I308, ",""", J308, """,""", K308, """,""", L308, """,""", M308, """")</f>
        <v>TAG,,PL2_4228_321_BLR_0233_YRI,"BNR Blower No. 2 Core 1 Running","BOOL","","(RADIX := Decimal, Constant := false, ExternalAccess := Read/Write)"</v>
      </c>
    </row>
    <row r="309" spans="1:14" x14ac:dyDescent="0.25">
      <c r="A309" t="s">
        <v>35</v>
      </c>
      <c r="C309" t="s">
        <v>639</v>
      </c>
      <c r="D309" s="14" t="s">
        <v>753</v>
      </c>
      <c r="E309" s="14" t="s">
        <v>768</v>
      </c>
      <c r="F309" t="s">
        <v>769</v>
      </c>
      <c r="G309" s="14" t="s">
        <v>910</v>
      </c>
      <c r="H309" t="s">
        <v>648</v>
      </c>
      <c r="I309" t="str">
        <f t="shared" si="4"/>
        <v>PL2_4228_321_BLR_0240_HSS</v>
      </c>
      <c r="J309" t="s">
        <v>1371</v>
      </c>
      <c r="K309" t="s">
        <v>44</v>
      </c>
      <c r="M309" t="s">
        <v>73</v>
      </c>
      <c r="N309" t="str">
        <f>_xlfn.CONCAT(A309, ",", B309, ",", I309, ",""", J309, """,""", K309, """,""", L309, """,""", M309, """")</f>
        <v>TAG,,PL2_4228_321_BLR_0240_HSS,"BNR Blower No. 2 Start / Stop Command","BOOL","","(RADIX := Decimal, Constant := false, ExternalAccess := Read/Write)"</v>
      </c>
    </row>
    <row r="310" spans="1:14" x14ac:dyDescent="0.25">
      <c r="A310" t="s">
        <v>35</v>
      </c>
      <c r="C310" t="s">
        <v>639</v>
      </c>
      <c r="D310" s="14" t="s">
        <v>753</v>
      </c>
      <c r="E310" s="14" t="s">
        <v>768</v>
      </c>
      <c r="F310" t="s">
        <v>769</v>
      </c>
      <c r="G310" s="14" t="s">
        <v>910</v>
      </c>
      <c r="H310" t="s">
        <v>650</v>
      </c>
      <c r="I310" t="str">
        <f t="shared" si="4"/>
        <v>PL2_4228_321_BLR_0240_SC</v>
      </c>
      <c r="J310" t="s">
        <v>1367</v>
      </c>
      <c r="K310" t="s">
        <v>66</v>
      </c>
      <c r="M310" t="s">
        <v>74</v>
      </c>
      <c r="N310" t="str">
        <f>_xlfn.CONCAT(A310, ",", B310, ",", I310, ",""", J310, """,""", K310, """,""", L310, """,""", M310, """")</f>
        <v>TAG,,PL2_4228_321_BLR_0240_SC,"BNR Blower No. 2 Speed Setpoint","REAL","","(RADIX := Float, Constant := false, ExternalAccess := Read/Write)"</v>
      </c>
    </row>
    <row r="311" spans="1:14" x14ac:dyDescent="0.25">
      <c r="A311" t="s">
        <v>35</v>
      </c>
      <c r="C311" t="s">
        <v>639</v>
      </c>
      <c r="D311" s="14" t="s">
        <v>753</v>
      </c>
      <c r="E311" s="14" t="s">
        <v>768</v>
      </c>
      <c r="F311" t="s">
        <v>769</v>
      </c>
      <c r="G311" s="14" t="s">
        <v>772</v>
      </c>
      <c r="I311" t="str">
        <f t="shared" si="4"/>
        <v>PL2_4228_321_BLR_0243</v>
      </c>
      <c r="J311" t="s">
        <v>779</v>
      </c>
      <c r="K311" t="s">
        <v>710</v>
      </c>
      <c r="M311" t="s">
        <v>72</v>
      </c>
      <c r="N311" t="str">
        <f>_xlfn.CONCAT(A311, ",", B311, ",", I311, ",""", J311, """,""", K311, """,""", L311, """,""", M311, """")</f>
        <v>TAG,,PL2_4228_321_BLR_0243,"BNR Blower No. 2 Core 2","fbMotor","","(Constant := false, ExternalAccess := Read/Write)"</v>
      </c>
    </row>
    <row r="312" spans="1:14" x14ac:dyDescent="0.25">
      <c r="A312" t="s">
        <v>35</v>
      </c>
      <c r="C312" t="s">
        <v>639</v>
      </c>
      <c r="D312" s="14" t="s">
        <v>753</v>
      </c>
      <c r="E312" s="14" t="s">
        <v>768</v>
      </c>
      <c r="F312" t="s">
        <v>769</v>
      </c>
      <c r="G312" s="14" t="s">
        <v>772</v>
      </c>
      <c r="H312" t="s">
        <v>649</v>
      </c>
      <c r="I312" t="str">
        <f t="shared" si="4"/>
        <v>PL2_4228_321_BLR_0243_SI</v>
      </c>
      <c r="J312" t="s">
        <v>843</v>
      </c>
      <c r="K312" t="s">
        <v>66</v>
      </c>
      <c r="M312" t="s">
        <v>74</v>
      </c>
      <c r="N312" t="str">
        <f>_xlfn.CONCAT(A312, ",", B312, ",", I312, ",""", J312, """,""", K312, """,""", L312, """,""", M312, """")</f>
        <v>TAG,,PL2_4228_321_BLR_0243_SI,"BNR Blower No. 2 Core 2 Speed Feedback","REAL","","(RADIX := Float, Constant := false, ExternalAccess := Read/Write)"</v>
      </c>
    </row>
    <row r="313" spans="1:14" x14ac:dyDescent="0.25">
      <c r="A313" t="s">
        <v>35</v>
      </c>
      <c r="C313" t="s">
        <v>639</v>
      </c>
      <c r="D313" s="14" t="s">
        <v>753</v>
      </c>
      <c r="E313" s="14" t="s">
        <v>768</v>
      </c>
      <c r="F313" t="s">
        <v>769</v>
      </c>
      <c r="G313" s="14" t="s">
        <v>772</v>
      </c>
      <c r="H313" t="s">
        <v>792</v>
      </c>
      <c r="I313" t="str">
        <f t="shared" si="4"/>
        <v>PL2_4228_321_BLR_0243_YAE</v>
      </c>
      <c r="J313" t="s">
        <v>842</v>
      </c>
      <c r="K313" t="s">
        <v>632</v>
      </c>
      <c r="M313" t="s">
        <v>72</v>
      </c>
      <c r="N313" t="str">
        <f>_xlfn.CONCAT(A313, ",", B313, ",", I313, ",""", J313, """,""", K313, """,""", L313, """,""", M313, """")</f>
        <v>TAG,,PL2_4228_321_BLR_0243_YAE,"BNR Blower No. 2 Core 2 E-Stop","fbDigital","","(Constant := false, ExternalAccess := Read/Write)"</v>
      </c>
    </row>
    <row r="314" spans="1:14" x14ac:dyDescent="0.25">
      <c r="A314" t="s">
        <v>35</v>
      </c>
      <c r="C314" t="s">
        <v>639</v>
      </c>
      <c r="D314" s="14" t="s">
        <v>753</v>
      </c>
      <c r="E314" s="14" t="s">
        <v>768</v>
      </c>
      <c r="F314" t="s">
        <v>769</v>
      </c>
      <c r="G314" s="14" t="s">
        <v>772</v>
      </c>
      <c r="H314" t="s">
        <v>790</v>
      </c>
      <c r="I314" t="str">
        <f t="shared" si="4"/>
        <v>PL2_4228_321_BLR_0243_YAF</v>
      </c>
      <c r="J314" t="s">
        <v>841</v>
      </c>
      <c r="K314" t="s">
        <v>632</v>
      </c>
      <c r="M314" t="s">
        <v>72</v>
      </c>
      <c r="N314" t="str">
        <f>_xlfn.CONCAT(A314, ",", B314, ",", I314, ",""", J314, """,""", K314, """,""", L314, """,""", M314, """")</f>
        <v>TAG,,PL2_4228_321_BLR_0243_YAF,"BNR Blower No. 2 Core 2 Fault","fbDigital","","(Constant := false, ExternalAccess := Read/Write)"</v>
      </c>
    </row>
    <row r="315" spans="1:14" x14ac:dyDescent="0.25">
      <c r="A315" t="s">
        <v>35</v>
      </c>
      <c r="C315" t="s">
        <v>639</v>
      </c>
      <c r="D315" s="14" t="s">
        <v>753</v>
      </c>
      <c r="E315" s="14" t="s">
        <v>768</v>
      </c>
      <c r="F315" t="s">
        <v>769</v>
      </c>
      <c r="G315" s="14" t="s">
        <v>772</v>
      </c>
      <c r="H315" t="s">
        <v>645</v>
      </c>
      <c r="I315" t="str">
        <f t="shared" si="4"/>
        <v>PL2_4228_321_BLR_0243_YCI</v>
      </c>
      <c r="J315" t="s">
        <v>839</v>
      </c>
      <c r="K315" t="s">
        <v>44</v>
      </c>
      <c r="M315" t="s">
        <v>73</v>
      </c>
      <c r="N315" t="str">
        <f>_xlfn.CONCAT(A315, ",", B315, ",", I315, ",""", J315, """,""", K315, """,""", L315, """,""", M315, """")</f>
        <v>TAG,,PL2_4228_321_BLR_0243_YCI,"BNR Blower No. 2 Core 2 In Remote","BOOL","","(RADIX := Decimal, Constant := false, ExternalAccess := Read/Write)"</v>
      </c>
    </row>
    <row r="316" spans="1:14" x14ac:dyDescent="0.25">
      <c r="A316" t="s">
        <v>35</v>
      </c>
      <c r="C316" t="s">
        <v>639</v>
      </c>
      <c r="D316" s="14" t="s">
        <v>753</v>
      </c>
      <c r="E316" s="14" t="s">
        <v>768</v>
      </c>
      <c r="F316" t="s">
        <v>769</v>
      </c>
      <c r="G316" s="14" t="s">
        <v>772</v>
      </c>
      <c r="H316" t="s">
        <v>791</v>
      </c>
      <c r="I316" t="str">
        <f t="shared" si="4"/>
        <v>PL2_4228_321_BLR_0243_YRI</v>
      </c>
      <c r="J316" t="s">
        <v>840</v>
      </c>
      <c r="K316" t="s">
        <v>44</v>
      </c>
      <c r="M316" t="s">
        <v>73</v>
      </c>
      <c r="N316" t="str">
        <f>_xlfn.CONCAT(A316, ",", B316, ",", I316, ",""", J316, """,""", K316, """,""", L316, """,""", M316, """")</f>
        <v>TAG,,PL2_4228_321_BLR_0243_YRI,"BNR Blower No. 2 Core 2 Running","BOOL","","(RADIX := Decimal, Constant := false, ExternalAccess := Read/Write)"</v>
      </c>
    </row>
    <row r="317" spans="1:14" x14ac:dyDescent="0.25">
      <c r="A317" t="s">
        <v>35</v>
      </c>
      <c r="C317" t="s">
        <v>639</v>
      </c>
      <c r="D317" s="14" t="s">
        <v>753</v>
      </c>
      <c r="E317" s="14" t="s">
        <v>768</v>
      </c>
      <c r="F317" t="s">
        <v>769</v>
      </c>
      <c r="G317" s="14" t="s">
        <v>773</v>
      </c>
      <c r="I317" t="str">
        <f t="shared" si="4"/>
        <v>PL2_4228_321_BLR_0253</v>
      </c>
      <c r="J317" t="s">
        <v>782</v>
      </c>
      <c r="K317" t="s">
        <v>710</v>
      </c>
      <c r="M317" t="s">
        <v>72</v>
      </c>
      <c r="N317" t="str">
        <f>_xlfn.CONCAT(A317, ",", B317, ",", I317, ",""", J317, """,""", K317, """,""", L317, """,""", M317, """")</f>
        <v>TAG,,PL2_4228_321_BLR_0253,"BNR Blower No. 3 Core 1","fbMotor","","(Constant := false, ExternalAccess := Read/Write)"</v>
      </c>
    </row>
    <row r="318" spans="1:14" x14ac:dyDescent="0.25">
      <c r="A318" t="s">
        <v>35</v>
      </c>
      <c r="C318" t="s">
        <v>639</v>
      </c>
      <c r="D318" s="14" t="s">
        <v>753</v>
      </c>
      <c r="E318" s="14" t="s">
        <v>768</v>
      </c>
      <c r="F318" t="s">
        <v>769</v>
      </c>
      <c r="G318" s="14" t="s">
        <v>773</v>
      </c>
      <c r="H318" t="s">
        <v>649</v>
      </c>
      <c r="I318" t="str">
        <f t="shared" si="4"/>
        <v>PL2_4228_321_BLR_0253_SI</v>
      </c>
      <c r="J318" t="s">
        <v>872</v>
      </c>
      <c r="K318" t="s">
        <v>66</v>
      </c>
      <c r="M318" t="s">
        <v>74</v>
      </c>
      <c r="N318" t="str">
        <f>_xlfn.CONCAT(A318, ",", B318, ",", I318, ",""", J318, """,""", K318, """,""", L318, """,""", M318, """")</f>
        <v>TAG,,PL2_4228_321_BLR_0253_SI,"BNR Blower No. 3 Core 1 Speed Feedback","REAL","","(RADIX := Float, Constant := false, ExternalAccess := Read/Write)"</v>
      </c>
    </row>
    <row r="319" spans="1:14" x14ac:dyDescent="0.25">
      <c r="A319" t="s">
        <v>35</v>
      </c>
      <c r="C319" t="s">
        <v>639</v>
      </c>
      <c r="D319" s="14" t="s">
        <v>753</v>
      </c>
      <c r="E319" s="14" t="s">
        <v>768</v>
      </c>
      <c r="F319" t="s">
        <v>769</v>
      </c>
      <c r="G319" s="14" t="s">
        <v>773</v>
      </c>
      <c r="H319" t="s">
        <v>792</v>
      </c>
      <c r="I319" t="str">
        <f t="shared" si="4"/>
        <v>PL2_4228_321_BLR_0253_YAE</v>
      </c>
      <c r="J319" t="s">
        <v>871</v>
      </c>
      <c r="K319" t="s">
        <v>632</v>
      </c>
      <c r="M319" t="s">
        <v>72</v>
      </c>
      <c r="N319" t="str">
        <f>_xlfn.CONCAT(A319, ",", B319, ",", I319, ",""", J319, """,""", K319, """,""", L319, """,""", M319, """")</f>
        <v>TAG,,PL2_4228_321_BLR_0253_YAE,"BNR Blower No. 3 Core 1 E-Stop","fbDigital","","(Constant := false, ExternalAccess := Read/Write)"</v>
      </c>
    </row>
    <row r="320" spans="1:14" x14ac:dyDescent="0.25">
      <c r="A320" t="s">
        <v>35</v>
      </c>
      <c r="C320" t="s">
        <v>639</v>
      </c>
      <c r="D320" s="14" t="s">
        <v>753</v>
      </c>
      <c r="E320" s="14" t="s">
        <v>768</v>
      </c>
      <c r="F320" t="s">
        <v>769</v>
      </c>
      <c r="G320" s="14" t="s">
        <v>773</v>
      </c>
      <c r="H320" t="s">
        <v>790</v>
      </c>
      <c r="I320" t="str">
        <f t="shared" si="4"/>
        <v>PL2_4228_321_BLR_0253_YAF</v>
      </c>
      <c r="J320" t="s">
        <v>870</v>
      </c>
      <c r="K320" t="s">
        <v>632</v>
      </c>
      <c r="M320" t="s">
        <v>72</v>
      </c>
      <c r="N320" t="str">
        <f>_xlfn.CONCAT(A320, ",", B320, ",", I320, ",""", J320, """,""", K320, """,""", L320, """,""", M320, """")</f>
        <v>TAG,,PL2_4228_321_BLR_0253_YAF,"BNR Blower No. 3 Core 1 Fault","fbDigital","","(Constant := false, ExternalAccess := Read/Write)"</v>
      </c>
    </row>
    <row r="321" spans="1:14" x14ac:dyDescent="0.25">
      <c r="A321" t="s">
        <v>35</v>
      </c>
      <c r="C321" t="s">
        <v>639</v>
      </c>
      <c r="D321" s="14" t="s">
        <v>753</v>
      </c>
      <c r="E321" s="14" t="s">
        <v>768</v>
      </c>
      <c r="F321" t="s">
        <v>769</v>
      </c>
      <c r="G321" s="14" t="s">
        <v>773</v>
      </c>
      <c r="H321" t="s">
        <v>645</v>
      </c>
      <c r="I321" t="str">
        <f t="shared" si="4"/>
        <v>PL2_4228_321_BLR_0253_YCI</v>
      </c>
      <c r="J321" t="s">
        <v>868</v>
      </c>
      <c r="K321" t="s">
        <v>44</v>
      </c>
      <c r="M321" t="s">
        <v>73</v>
      </c>
      <c r="N321" t="str">
        <f>_xlfn.CONCAT(A321, ",", B321, ",", I321, ",""", J321, """,""", K321, """,""", L321, """,""", M321, """")</f>
        <v>TAG,,PL2_4228_321_BLR_0253_YCI,"BNR Blower No. 3 Core 1 In Remote","BOOL","","(RADIX := Decimal, Constant := false, ExternalAccess := Read/Write)"</v>
      </c>
    </row>
    <row r="322" spans="1:14" x14ac:dyDescent="0.25">
      <c r="A322" t="s">
        <v>35</v>
      </c>
      <c r="C322" t="s">
        <v>639</v>
      </c>
      <c r="D322" s="14" t="s">
        <v>753</v>
      </c>
      <c r="E322" s="14" t="s">
        <v>768</v>
      </c>
      <c r="F322" t="s">
        <v>769</v>
      </c>
      <c r="G322" s="14" t="s">
        <v>773</v>
      </c>
      <c r="H322" t="s">
        <v>791</v>
      </c>
      <c r="I322" t="str">
        <f t="shared" si="4"/>
        <v>PL2_4228_321_BLR_0253_YRI</v>
      </c>
      <c r="J322" t="s">
        <v>869</v>
      </c>
      <c r="K322" t="s">
        <v>44</v>
      </c>
      <c r="M322" t="s">
        <v>73</v>
      </c>
      <c r="N322" t="str">
        <f>_xlfn.CONCAT(A322, ",", B322, ",", I322, ",""", J322, """,""", K322, """,""", L322, """,""", M322, """")</f>
        <v>TAG,,PL2_4228_321_BLR_0253_YRI,"BNR Blower No. 3 Core 1 Running","BOOL","","(RADIX := Decimal, Constant := false, ExternalAccess := Read/Write)"</v>
      </c>
    </row>
    <row r="323" spans="1:14" x14ac:dyDescent="0.25">
      <c r="A323" t="s">
        <v>35</v>
      </c>
      <c r="C323" t="s">
        <v>639</v>
      </c>
      <c r="D323" s="14" t="s">
        <v>753</v>
      </c>
      <c r="E323" s="14" t="s">
        <v>768</v>
      </c>
      <c r="F323" t="s">
        <v>769</v>
      </c>
      <c r="G323" s="14" t="s">
        <v>911</v>
      </c>
      <c r="H323" t="s">
        <v>648</v>
      </c>
      <c r="I323" t="str">
        <f t="shared" ref="I323:I386" si="5">_xlfn.CONCAT(C323,"_",D323,"_",_xlfn.CONCAT(E323, "_"),F323,"_",G323, IF(ISBLANK(H323), "", _xlfn.CONCAT("_",H323)))</f>
        <v>PL2_4228_321_BLR_0260_HSS</v>
      </c>
      <c r="J323" t="s">
        <v>1372</v>
      </c>
      <c r="K323" t="s">
        <v>44</v>
      </c>
      <c r="M323" t="s">
        <v>73</v>
      </c>
      <c r="N323" t="str">
        <f>_xlfn.CONCAT(A323, ",", B323, ",", I323, ",""", J323, """,""", K323, """,""", L323, """,""", M323, """")</f>
        <v>TAG,,PL2_4228_321_BLR_0260_HSS,"BNR Blower No. 3 Start / Stop Command","BOOL","","(RADIX := Decimal, Constant := false, ExternalAccess := Read/Write)"</v>
      </c>
    </row>
    <row r="324" spans="1:14" x14ac:dyDescent="0.25">
      <c r="A324" t="s">
        <v>35</v>
      </c>
      <c r="C324" t="s">
        <v>639</v>
      </c>
      <c r="D324" s="14" t="s">
        <v>753</v>
      </c>
      <c r="E324" s="14" t="s">
        <v>768</v>
      </c>
      <c r="F324" t="s">
        <v>769</v>
      </c>
      <c r="G324" s="14" t="s">
        <v>911</v>
      </c>
      <c r="H324" t="s">
        <v>650</v>
      </c>
      <c r="I324" t="str">
        <f t="shared" si="5"/>
        <v>PL2_4228_321_BLR_0260_SC</v>
      </c>
      <c r="J324" t="s">
        <v>1369</v>
      </c>
      <c r="K324" t="s">
        <v>66</v>
      </c>
      <c r="M324" t="s">
        <v>74</v>
      </c>
      <c r="N324" t="str">
        <f>_xlfn.CONCAT(A324, ",", B324, ",", I324, ",""", J324, """,""", K324, """,""", L324, """,""", M324, """")</f>
        <v>TAG,,PL2_4228_321_BLR_0260_SC,"BNR Blower No. 3 Speed Setpoint","REAL","","(RADIX := Float, Constant := false, ExternalAccess := Read/Write)"</v>
      </c>
    </row>
    <row r="325" spans="1:14" x14ac:dyDescent="0.25">
      <c r="A325" t="s">
        <v>35</v>
      </c>
      <c r="C325" t="s">
        <v>639</v>
      </c>
      <c r="D325" s="14" t="s">
        <v>753</v>
      </c>
      <c r="E325" s="14" t="s">
        <v>768</v>
      </c>
      <c r="F325" t="s">
        <v>769</v>
      </c>
      <c r="G325" s="14" t="s">
        <v>774</v>
      </c>
      <c r="I325" t="str">
        <f t="shared" si="5"/>
        <v>PL2_4228_321_BLR_0263</v>
      </c>
      <c r="J325" t="s">
        <v>781</v>
      </c>
      <c r="K325" t="s">
        <v>710</v>
      </c>
      <c r="M325" t="s">
        <v>72</v>
      </c>
      <c r="N325" t="str">
        <f>_xlfn.CONCAT(A325, ",", B325, ",", I325, ",""", J325, """,""", K325, """,""", L325, """,""", M325, """")</f>
        <v>TAG,,PL2_4228_321_BLR_0263,"BNR Blower No. 3 Core 2","fbMotor","","(Constant := false, ExternalAccess := Read/Write)"</v>
      </c>
    </row>
    <row r="326" spans="1:14" x14ac:dyDescent="0.25">
      <c r="A326" t="s">
        <v>35</v>
      </c>
      <c r="C326" t="s">
        <v>639</v>
      </c>
      <c r="D326" s="14" t="s">
        <v>753</v>
      </c>
      <c r="E326" s="14" t="s">
        <v>768</v>
      </c>
      <c r="F326" t="s">
        <v>769</v>
      </c>
      <c r="G326" s="14" t="s">
        <v>774</v>
      </c>
      <c r="H326" t="s">
        <v>649</v>
      </c>
      <c r="I326" t="str">
        <f t="shared" si="5"/>
        <v>PL2_4228_321_BLR_0263_SI</v>
      </c>
      <c r="J326" t="s">
        <v>880</v>
      </c>
      <c r="K326" t="s">
        <v>66</v>
      </c>
      <c r="M326" t="s">
        <v>74</v>
      </c>
      <c r="N326" t="str">
        <f>_xlfn.CONCAT(A326, ",", B326, ",", I326, ",""", J326, """,""", K326, """,""", L326, """,""", M326, """")</f>
        <v>TAG,,PL2_4228_321_BLR_0263_SI,"BNR Blower No. 3 Core 2 Speed Feedback","REAL","","(RADIX := Float, Constant := false, ExternalAccess := Read/Write)"</v>
      </c>
    </row>
    <row r="327" spans="1:14" x14ac:dyDescent="0.25">
      <c r="A327" t="s">
        <v>35</v>
      </c>
      <c r="C327" t="s">
        <v>639</v>
      </c>
      <c r="D327" s="14" t="s">
        <v>753</v>
      </c>
      <c r="E327" s="14" t="s">
        <v>768</v>
      </c>
      <c r="F327" t="s">
        <v>769</v>
      </c>
      <c r="G327" s="14" t="s">
        <v>774</v>
      </c>
      <c r="H327" t="s">
        <v>792</v>
      </c>
      <c r="I327" t="str">
        <f t="shared" si="5"/>
        <v>PL2_4228_321_BLR_0263_YAE</v>
      </c>
      <c r="J327" t="s">
        <v>879</v>
      </c>
      <c r="K327" t="s">
        <v>632</v>
      </c>
      <c r="M327" t="s">
        <v>72</v>
      </c>
      <c r="N327" t="str">
        <f>_xlfn.CONCAT(A327, ",", B327, ",", I327, ",""", J327, """,""", K327, """,""", L327, """,""", M327, """")</f>
        <v>TAG,,PL2_4228_321_BLR_0263_YAE,"BNR Blower No. 3 Core 2 E-Stop","fbDigital","","(Constant := false, ExternalAccess := Read/Write)"</v>
      </c>
    </row>
    <row r="328" spans="1:14" x14ac:dyDescent="0.25">
      <c r="A328" t="s">
        <v>35</v>
      </c>
      <c r="C328" t="s">
        <v>639</v>
      </c>
      <c r="D328" s="14" t="s">
        <v>753</v>
      </c>
      <c r="E328" s="14" t="s">
        <v>768</v>
      </c>
      <c r="F328" t="s">
        <v>769</v>
      </c>
      <c r="G328" s="14" t="s">
        <v>774</v>
      </c>
      <c r="H328" t="s">
        <v>790</v>
      </c>
      <c r="I328" t="str">
        <f t="shared" si="5"/>
        <v>PL2_4228_321_BLR_0263_YAF</v>
      </c>
      <c r="J328" t="s">
        <v>878</v>
      </c>
      <c r="K328" t="s">
        <v>632</v>
      </c>
      <c r="M328" t="s">
        <v>72</v>
      </c>
      <c r="N328" t="str">
        <f>_xlfn.CONCAT(A328, ",", B328, ",", I328, ",""", J328, """,""", K328, """,""", L328, """,""", M328, """")</f>
        <v>TAG,,PL2_4228_321_BLR_0263_YAF,"BNR Blower No. 3 Core 2 Fault","fbDigital","","(Constant := false, ExternalAccess := Read/Write)"</v>
      </c>
    </row>
    <row r="329" spans="1:14" x14ac:dyDescent="0.25">
      <c r="A329" t="s">
        <v>35</v>
      </c>
      <c r="C329" t="s">
        <v>639</v>
      </c>
      <c r="D329" s="14" t="s">
        <v>753</v>
      </c>
      <c r="E329" s="14" t="s">
        <v>768</v>
      </c>
      <c r="F329" t="s">
        <v>769</v>
      </c>
      <c r="G329" s="14" t="s">
        <v>774</v>
      </c>
      <c r="H329" t="s">
        <v>645</v>
      </c>
      <c r="I329" t="str">
        <f t="shared" si="5"/>
        <v>PL2_4228_321_BLR_0263_YCI</v>
      </c>
      <c r="J329" t="s">
        <v>876</v>
      </c>
      <c r="K329" t="s">
        <v>44</v>
      </c>
      <c r="M329" t="s">
        <v>73</v>
      </c>
      <c r="N329" t="str">
        <f>_xlfn.CONCAT(A329, ",", B329, ",", I329, ",""", J329, """,""", K329, """,""", L329, """,""", M329, """")</f>
        <v>TAG,,PL2_4228_321_BLR_0263_YCI,"BNR Blower No. 3 Core 2 In Remote","BOOL","","(RADIX := Decimal, Constant := false, ExternalAccess := Read/Write)"</v>
      </c>
    </row>
    <row r="330" spans="1:14" x14ac:dyDescent="0.25">
      <c r="A330" t="s">
        <v>35</v>
      </c>
      <c r="C330" t="s">
        <v>639</v>
      </c>
      <c r="D330" s="14" t="s">
        <v>753</v>
      </c>
      <c r="E330" s="14" t="s">
        <v>768</v>
      </c>
      <c r="F330" t="s">
        <v>769</v>
      </c>
      <c r="G330" s="14" t="s">
        <v>774</v>
      </c>
      <c r="H330" t="s">
        <v>791</v>
      </c>
      <c r="I330" t="str">
        <f t="shared" si="5"/>
        <v>PL2_4228_321_BLR_0263_YRI</v>
      </c>
      <c r="J330" t="s">
        <v>877</v>
      </c>
      <c r="K330" t="s">
        <v>44</v>
      </c>
      <c r="M330" t="s">
        <v>73</v>
      </c>
      <c r="N330" t="str">
        <f>_xlfn.CONCAT(A330, ",", B330, ",", I330, ",""", J330, """,""", K330, """,""", L330, """,""", M330, """")</f>
        <v>TAG,,PL2_4228_321_BLR_0263_YRI,"BNR Blower No. 3 Core 2 Running","BOOL","","(RADIX := Decimal, Constant := false, ExternalAccess := Read/Write)"</v>
      </c>
    </row>
    <row r="331" spans="1:14" x14ac:dyDescent="0.25">
      <c r="A331" t="s">
        <v>35</v>
      </c>
      <c r="C331" t="s">
        <v>639</v>
      </c>
      <c r="D331" s="14" t="s">
        <v>753</v>
      </c>
      <c r="E331" s="14" t="s">
        <v>768</v>
      </c>
      <c r="F331" t="s">
        <v>769</v>
      </c>
      <c r="G331" s="14" t="s">
        <v>775</v>
      </c>
      <c r="I331" t="str">
        <f t="shared" si="5"/>
        <v>PL2_4228_321_BLR_0273</v>
      </c>
      <c r="J331" t="s">
        <v>783</v>
      </c>
      <c r="K331" t="s">
        <v>710</v>
      </c>
      <c r="M331" t="s">
        <v>72</v>
      </c>
      <c r="N331" t="str">
        <f>_xlfn.CONCAT(A331, ",", B331, ",", I331, ",""", J331, """,""", K331, """,""", L331, """,""", M331, """")</f>
        <v>TAG,,PL2_4228_321_BLR_0273,"BNR Blower No. 4 Core 1","fbMotor","","(Constant := false, ExternalAccess := Read/Write)"</v>
      </c>
    </row>
    <row r="332" spans="1:14" x14ac:dyDescent="0.25">
      <c r="A332" t="s">
        <v>35</v>
      </c>
      <c r="C332" t="s">
        <v>639</v>
      </c>
      <c r="D332" s="14" t="s">
        <v>753</v>
      </c>
      <c r="E332" s="14" t="s">
        <v>768</v>
      </c>
      <c r="F332" t="s">
        <v>769</v>
      </c>
      <c r="G332" s="14" t="s">
        <v>775</v>
      </c>
      <c r="H332" t="s">
        <v>649</v>
      </c>
      <c r="I332" t="str">
        <f t="shared" si="5"/>
        <v>PL2_4228_321_BLR_0273_SI</v>
      </c>
      <c r="J332" t="s">
        <v>891</v>
      </c>
      <c r="K332" t="s">
        <v>66</v>
      </c>
      <c r="M332" t="s">
        <v>74</v>
      </c>
      <c r="N332" t="str">
        <f>_xlfn.CONCAT(A332, ",", B332, ",", I332, ",""", J332, """,""", K332, """,""", L332, """,""", M332, """")</f>
        <v>TAG,,PL2_4228_321_BLR_0273_SI,"BNR Blower No. 4 Core 1 Speed Feedback","REAL","","(RADIX := Float, Constant := false, ExternalAccess := Read/Write)"</v>
      </c>
    </row>
    <row r="333" spans="1:14" x14ac:dyDescent="0.25">
      <c r="A333" t="s">
        <v>35</v>
      </c>
      <c r="C333" t="s">
        <v>639</v>
      </c>
      <c r="D333" s="14" t="s">
        <v>753</v>
      </c>
      <c r="E333" s="14" t="s">
        <v>768</v>
      </c>
      <c r="F333" t="s">
        <v>769</v>
      </c>
      <c r="G333" s="14" t="s">
        <v>775</v>
      </c>
      <c r="H333" t="s">
        <v>792</v>
      </c>
      <c r="I333" t="str">
        <f t="shared" si="5"/>
        <v>PL2_4228_321_BLR_0273_YAE</v>
      </c>
      <c r="J333" t="s">
        <v>890</v>
      </c>
      <c r="K333" t="s">
        <v>632</v>
      </c>
      <c r="M333" t="s">
        <v>72</v>
      </c>
      <c r="N333" t="str">
        <f>_xlfn.CONCAT(A333, ",", B333, ",", I333, ",""", J333, """,""", K333, """,""", L333, """,""", M333, """")</f>
        <v>TAG,,PL2_4228_321_BLR_0273_YAE,"BNR Blower No. 4 Core 1 E-Stop","fbDigital","","(Constant := false, ExternalAccess := Read/Write)"</v>
      </c>
    </row>
    <row r="334" spans="1:14" x14ac:dyDescent="0.25">
      <c r="A334" t="s">
        <v>35</v>
      </c>
      <c r="C334" t="s">
        <v>639</v>
      </c>
      <c r="D334" s="14" t="s">
        <v>753</v>
      </c>
      <c r="E334" s="14" t="s">
        <v>768</v>
      </c>
      <c r="F334" t="s">
        <v>769</v>
      </c>
      <c r="G334" s="14" t="s">
        <v>775</v>
      </c>
      <c r="H334" t="s">
        <v>790</v>
      </c>
      <c r="I334" t="str">
        <f t="shared" si="5"/>
        <v>PL2_4228_321_BLR_0273_YAF</v>
      </c>
      <c r="J334" t="s">
        <v>889</v>
      </c>
      <c r="K334" t="s">
        <v>632</v>
      </c>
      <c r="M334" t="s">
        <v>72</v>
      </c>
      <c r="N334" t="str">
        <f>_xlfn.CONCAT(A334, ",", B334, ",", I334, ",""", J334, """,""", K334, """,""", L334, """,""", M334, """")</f>
        <v>TAG,,PL2_4228_321_BLR_0273_YAF,"BNR Blower No. 4 Core 1 Fault","fbDigital","","(Constant := false, ExternalAccess := Read/Write)"</v>
      </c>
    </row>
    <row r="335" spans="1:14" x14ac:dyDescent="0.25">
      <c r="A335" t="s">
        <v>35</v>
      </c>
      <c r="C335" t="s">
        <v>639</v>
      </c>
      <c r="D335" s="14" t="s">
        <v>753</v>
      </c>
      <c r="E335" s="14" t="s">
        <v>768</v>
      </c>
      <c r="F335" t="s">
        <v>769</v>
      </c>
      <c r="G335" s="14" t="s">
        <v>775</v>
      </c>
      <c r="H335" t="s">
        <v>645</v>
      </c>
      <c r="I335" t="str">
        <f t="shared" si="5"/>
        <v>PL2_4228_321_BLR_0273_YCI</v>
      </c>
      <c r="J335" t="s">
        <v>887</v>
      </c>
      <c r="K335" t="s">
        <v>44</v>
      </c>
      <c r="M335" t="s">
        <v>73</v>
      </c>
      <c r="N335" t="str">
        <f>_xlfn.CONCAT(A335, ",", B335, ",", I335, ",""", J335, """,""", K335, """,""", L335, """,""", M335, """")</f>
        <v>TAG,,PL2_4228_321_BLR_0273_YCI,"BNR Blower No. 4 Core 1 In Remote","BOOL","","(RADIX := Decimal, Constant := false, ExternalAccess := Read/Write)"</v>
      </c>
    </row>
    <row r="336" spans="1:14" x14ac:dyDescent="0.25">
      <c r="A336" t="s">
        <v>35</v>
      </c>
      <c r="C336" t="s">
        <v>639</v>
      </c>
      <c r="D336" s="14" t="s">
        <v>753</v>
      </c>
      <c r="E336" s="14" t="s">
        <v>768</v>
      </c>
      <c r="F336" t="s">
        <v>769</v>
      </c>
      <c r="G336" s="14" t="s">
        <v>775</v>
      </c>
      <c r="H336" t="s">
        <v>791</v>
      </c>
      <c r="I336" t="str">
        <f t="shared" si="5"/>
        <v>PL2_4228_321_BLR_0273_YRI</v>
      </c>
      <c r="J336" t="s">
        <v>888</v>
      </c>
      <c r="K336" t="s">
        <v>44</v>
      </c>
      <c r="M336" t="s">
        <v>73</v>
      </c>
      <c r="N336" t="str">
        <f>_xlfn.CONCAT(A336, ",", B336, ",", I336, ",""", J336, """,""", K336, """,""", L336, """,""", M336, """")</f>
        <v>TAG,,PL2_4228_321_BLR_0273_YRI,"BNR Blower No. 4 Core 1 Running","BOOL","","(RADIX := Decimal, Constant := false, ExternalAccess := Read/Write)"</v>
      </c>
    </row>
    <row r="337" spans="1:14" x14ac:dyDescent="0.25">
      <c r="A337" t="s">
        <v>35</v>
      </c>
      <c r="C337" t="s">
        <v>639</v>
      </c>
      <c r="D337" s="14" t="s">
        <v>753</v>
      </c>
      <c r="E337" s="14" t="s">
        <v>768</v>
      </c>
      <c r="F337" t="s">
        <v>769</v>
      </c>
      <c r="G337" s="14" t="s">
        <v>905</v>
      </c>
      <c r="H337" t="s">
        <v>648</v>
      </c>
      <c r="I337" t="str">
        <f t="shared" si="5"/>
        <v>PL2_4228_321_BLR_0280_HSS</v>
      </c>
      <c r="J337" t="s">
        <v>1373</v>
      </c>
      <c r="K337" t="s">
        <v>44</v>
      </c>
      <c r="M337" t="s">
        <v>73</v>
      </c>
      <c r="N337" t="str">
        <f>_xlfn.CONCAT(A337, ",", B337, ",", I337, ",""", J337, """,""", K337, """,""", L337, """,""", M337, """")</f>
        <v>TAG,,PL2_4228_321_BLR_0280_HSS,"BNR Blower No. 4 Start / Stop Command","BOOL","","(RADIX := Decimal, Constant := false, ExternalAccess := Read/Write)"</v>
      </c>
    </row>
    <row r="338" spans="1:14" x14ac:dyDescent="0.25">
      <c r="A338" t="s">
        <v>35</v>
      </c>
      <c r="C338" t="s">
        <v>639</v>
      </c>
      <c r="D338" s="14" t="s">
        <v>753</v>
      </c>
      <c r="E338" s="14" t="s">
        <v>768</v>
      </c>
      <c r="F338" t="s">
        <v>769</v>
      </c>
      <c r="G338" s="14" t="s">
        <v>905</v>
      </c>
      <c r="H338" t="s">
        <v>650</v>
      </c>
      <c r="I338" t="str">
        <f t="shared" si="5"/>
        <v>PL2_4228_321_BLR_0280_SC</v>
      </c>
      <c r="J338" t="s">
        <v>1368</v>
      </c>
      <c r="K338" t="s">
        <v>66</v>
      </c>
      <c r="M338" t="s">
        <v>74</v>
      </c>
      <c r="N338" t="str">
        <f>_xlfn.CONCAT(A338, ",", B338, ",", I338, ",""", J338, """,""", K338, """,""", L338, """,""", M338, """")</f>
        <v>TAG,,PL2_4228_321_BLR_0280_SC,"BNR Blower No. 4 Speed Setpoint","REAL","","(RADIX := Float, Constant := false, ExternalAccess := Read/Write)"</v>
      </c>
    </row>
    <row r="339" spans="1:14" x14ac:dyDescent="0.25">
      <c r="A339" t="s">
        <v>35</v>
      </c>
      <c r="C339" t="s">
        <v>639</v>
      </c>
      <c r="D339" s="14" t="s">
        <v>753</v>
      </c>
      <c r="E339" s="14" t="s">
        <v>768</v>
      </c>
      <c r="F339" t="s">
        <v>769</v>
      </c>
      <c r="G339" s="14" t="s">
        <v>776</v>
      </c>
      <c r="I339" t="str">
        <f t="shared" si="5"/>
        <v>PL2_4228_321_BLR_0283</v>
      </c>
      <c r="J339" t="s">
        <v>784</v>
      </c>
      <c r="K339" t="s">
        <v>710</v>
      </c>
      <c r="M339" t="s">
        <v>72</v>
      </c>
      <c r="N339" t="str">
        <f>_xlfn.CONCAT(A339, ",", B339, ",", I339, ",""", J339, """,""", K339, """,""", L339, """,""", M339, """")</f>
        <v>TAG,,PL2_4228_321_BLR_0283,"BNR Blower No. 4 Core 2","fbMotor","","(Constant := false, ExternalAccess := Read/Write)"</v>
      </c>
    </row>
    <row r="340" spans="1:14" x14ac:dyDescent="0.25">
      <c r="A340" t="s">
        <v>35</v>
      </c>
      <c r="C340" t="s">
        <v>639</v>
      </c>
      <c r="D340" s="14" t="s">
        <v>753</v>
      </c>
      <c r="E340" s="14" t="s">
        <v>768</v>
      </c>
      <c r="F340" t="s">
        <v>769</v>
      </c>
      <c r="G340" s="14" t="s">
        <v>776</v>
      </c>
      <c r="H340" t="s">
        <v>649</v>
      </c>
      <c r="I340" t="str">
        <f t="shared" si="5"/>
        <v>PL2_4228_321_BLR_0283_SI</v>
      </c>
      <c r="J340" t="s">
        <v>899</v>
      </c>
      <c r="K340" t="s">
        <v>66</v>
      </c>
      <c r="M340" t="s">
        <v>74</v>
      </c>
      <c r="N340" t="str">
        <f>_xlfn.CONCAT(A340, ",", B340, ",", I340, ",""", J340, """,""", K340, """,""", L340, """,""", M340, """")</f>
        <v>TAG,,PL2_4228_321_BLR_0283_SI,"BNR Blower No. 4 Core 2 Speed Feedback","REAL","","(RADIX := Float, Constant := false, ExternalAccess := Read/Write)"</v>
      </c>
    </row>
    <row r="341" spans="1:14" x14ac:dyDescent="0.25">
      <c r="A341" t="s">
        <v>35</v>
      </c>
      <c r="C341" t="s">
        <v>639</v>
      </c>
      <c r="D341" s="14" t="s">
        <v>753</v>
      </c>
      <c r="E341" s="14" t="s">
        <v>768</v>
      </c>
      <c r="F341" t="s">
        <v>769</v>
      </c>
      <c r="G341" s="14" t="s">
        <v>776</v>
      </c>
      <c r="H341" t="s">
        <v>792</v>
      </c>
      <c r="I341" t="str">
        <f t="shared" si="5"/>
        <v>PL2_4228_321_BLR_0283_YAE</v>
      </c>
      <c r="J341" t="s">
        <v>898</v>
      </c>
      <c r="K341" t="s">
        <v>632</v>
      </c>
      <c r="M341" t="s">
        <v>72</v>
      </c>
      <c r="N341" t="str">
        <f>_xlfn.CONCAT(A341, ",", B341, ",", I341, ",""", J341, """,""", K341, """,""", L341, """,""", M341, """")</f>
        <v>TAG,,PL2_4228_321_BLR_0283_YAE,"BNR Blower No. 4 Core 2 E-Stop","fbDigital","","(Constant := false, ExternalAccess := Read/Write)"</v>
      </c>
    </row>
    <row r="342" spans="1:14" x14ac:dyDescent="0.25">
      <c r="A342" t="s">
        <v>35</v>
      </c>
      <c r="C342" t="s">
        <v>639</v>
      </c>
      <c r="D342" s="14" t="s">
        <v>753</v>
      </c>
      <c r="E342" s="14" t="s">
        <v>768</v>
      </c>
      <c r="F342" t="s">
        <v>769</v>
      </c>
      <c r="G342" s="14" t="s">
        <v>776</v>
      </c>
      <c r="H342" t="s">
        <v>790</v>
      </c>
      <c r="I342" t="str">
        <f t="shared" si="5"/>
        <v>PL2_4228_321_BLR_0283_YAF</v>
      </c>
      <c r="J342" t="s">
        <v>897</v>
      </c>
      <c r="K342" t="s">
        <v>632</v>
      </c>
      <c r="M342" t="s">
        <v>72</v>
      </c>
      <c r="N342" t="str">
        <f>_xlfn.CONCAT(A342, ",", B342, ",", I342, ",""", J342, """,""", K342, """,""", L342, """,""", M342, """")</f>
        <v>TAG,,PL2_4228_321_BLR_0283_YAF,"BNR Blower No. 4 Core 2 Fault","fbDigital","","(Constant := false, ExternalAccess := Read/Write)"</v>
      </c>
    </row>
    <row r="343" spans="1:14" x14ac:dyDescent="0.25">
      <c r="A343" t="s">
        <v>35</v>
      </c>
      <c r="C343" t="s">
        <v>639</v>
      </c>
      <c r="D343" s="14" t="s">
        <v>753</v>
      </c>
      <c r="E343" s="14" t="s">
        <v>768</v>
      </c>
      <c r="F343" t="s">
        <v>769</v>
      </c>
      <c r="G343" s="14" t="s">
        <v>776</v>
      </c>
      <c r="H343" t="s">
        <v>645</v>
      </c>
      <c r="I343" t="str">
        <f t="shared" si="5"/>
        <v>PL2_4228_321_BLR_0283_YCI</v>
      </c>
      <c r="J343" t="s">
        <v>895</v>
      </c>
      <c r="K343" t="s">
        <v>44</v>
      </c>
      <c r="M343" t="s">
        <v>73</v>
      </c>
      <c r="N343" t="str">
        <f>_xlfn.CONCAT(A343, ",", B343, ",", I343, ",""", J343, """,""", K343, """,""", L343, """,""", M343, """")</f>
        <v>TAG,,PL2_4228_321_BLR_0283_YCI,"BNR Blower No. 4 Core 2 In Remote","BOOL","","(RADIX := Decimal, Constant := false, ExternalAccess := Read/Write)"</v>
      </c>
    </row>
    <row r="344" spans="1:14" x14ac:dyDescent="0.25">
      <c r="A344" t="s">
        <v>35</v>
      </c>
      <c r="C344" t="s">
        <v>639</v>
      </c>
      <c r="D344" s="14" t="s">
        <v>753</v>
      </c>
      <c r="E344" s="14" t="s">
        <v>768</v>
      </c>
      <c r="F344" t="s">
        <v>769</v>
      </c>
      <c r="G344" s="14" t="s">
        <v>776</v>
      </c>
      <c r="H344" t="s">
        <v>791</v>
      </c>
      <c r="I344" t="str">
        <f t="shared" si="5"/>
        <v>PL2_4228_321_BLR_0283_YRI</v>
      </c>
      <c r="J344" t="s">
        <v>896</v>
      </c>
      <c r="K344" t="s">
        <v>44</v>
      </c>
      <c r="M344" t="s">
        <v>73</v>
      </c>
      <c r="N344" t="str">
        <f>_xlfn.CONCAT(A344, ",", B344, ",", I344, ",""", J344, """,""", K344, """,""", L344, """,""", M344, """")</f>
        <v>TAG,,PL2_4228_321_BLR_0283_YRI,"BNR Blower No. 4 Core 2 Running","BOOL","","(RADIX := Decimal, Constant := false, ExternalAccess := Read/Write)"</v>
      </c>
    </row>
    <row r="345" spans="1:14" x14ac:dyDescent="0.25">
      <c r="A345" t="s">
        <v>35</v>
      </c>
      <c r="C345" t="s">
        <v>639</v>
      </c>
      <c r="D345" s="14" t="s">
        <v>753</v>
      </c>
      <c r="E345" s="14" t="s">
        <v>646</v>
      </c>
      <c r="F345" t="s">
        <v>712</v>
      </c>
      <c r="G345" s="14" t="s">
        <v>804</v>
      </c>
      <c r="H345" t="s">
        <v>806</v>
      </c>
      <c r="I345" t="str">
        <f t="shared" si="5"/>
        <v>PL2_4228_452_AIT_0221_MI</v>
      </c>
      <c r="J345" t="s">
        <v>808</v>
      </c>
      <c r="K345" t="s">
        <v>631</v>
      </c>
      <c r="M345" t="s">
        <v>72</v>
      </c>
      <c r="N345" t="str">
        <f>_xlfn.CONCAT(A345, ",", B345, ",", I345, ",""", J345, """,""", K345, """,""", L345, """,""", M345, """")</f>
        <v>TAG,,PL2_4228_452_AIT_0221_MI,"BNR Blower No. 1 Inlet Ambient Humidity","fbAnalog","","(Constant := false, ExternalAccess := Read/Write)"</v>
      </c>
    </row>
    <row r="346" spans="1:14" x14ac:dyDescent="0.25">
      <c r="A346" t="s">
        <v>35</v>
      </c>
      <c r="C346" t="s">
        <v>639</v>
      </c>
      <c r="D346" s="14" t="s">
        <v>753</v>
      </c>
      <c r="E346" s="14" t="s">
        <v>646</v>
      </c>
      <c r="F346" t="s">
        <v>712</v>
      </c>
      <c r="G346" s="14" t="s">
        <v>825</v>
      </c>
      <c r="H346" t="s">
        <v>806</v>
      </c>
      <c r="I346" t="str">
        <f t="shared" si="5"/>
        <v>PL2_4228_452_AIT_0241_MI</v>
      </c>
      <c r="J346" t="s">
        <v>830</v>
      </c>
      <c r="K346" t="s">
        <v>631</v>
      </c>
      <c r="M346" t="s">
        <v>72</v>
      </c>
      <c r="N346" t="str">
        <f>_xlfn.CONCAT(A346, ",", B346, ",", I346, ",""", J346, """,""", K346, """,""", L346, """,""", M346, """")</f>
        <v>TAG,,PL2_4228_452_AIT_0241_MI,"BNR Blower No. 2 Inlet Ambient Humidity","fbAnalog","","(Constant := false, ExternalAccess := Read/Write)"</v>
      </c>
    </row>
    <row r="347" spans="1:14" x14ac:dyDescent="0.25">
      <c r="A347" t="s">
        <v>35</v>
      </c>
      <c r="C347" t="s">
        <v>639</v>
      </c>
      <c r="D347" s="14" t="s">
        <v>753</v>
      </c>
      <c r="E347" s="14" t="s">
        <v>646</v>
      </c>
      <c r="F347" t="s">
        <v>712</v>
      </c>
      <c r="G347" s="14" t="s">
        <v>851</v>
      </c>
      <c r="H347" t="s">
        <v>806</v>
      </c>
      <c r="I347" t="str">
        <f t="shared" si="5"/>
        <v>PL2_4228_452_AIT_0261_MI</v>
      </c>
      <c r="J347" t="s">
        <v>867</v>
      </c>
      <c r="K347" t="s">
        <v>631</v>
      </c>
      <c r="M347" t="s">
        <v>72</v>
      </c>
      <c r="N347" t="str">
        <f>_xlfn.CONCAT(A347, ",", B347, ",", I347, ",""", J347, """,""", K347, """,""", L347, """,""", M347, """")</f>
        <v>TAG,,PL2_4228_452_AIT_0261_MI,"BNR Blower No. 3 Inlet Ambient Humidity","fbAnalog","","(Constant := false, ExternalAccess := Read/Write)"</v>
      </c>
    </row>
    <row r="348" spans="1:14" x14ac:dyDescent="0.25">
      <c r="A348" t="s">
        <v>35</v>
      </c>
      <c r="C348" t="s">
        <v>639</v>
      </c>
      <c r="D348" s="14" t="s">
        <v>753</v>
      </c>
      <c r="E348" s="14" t="s">
        <v>646</v>
      </c>
      <c r="F348" t="s">
        <v>712</v>
      </c>
      <c r="G348" s="14" t="s">
        <v>860</v>
      </c>
      <c r="H348" t="s">
        <v>806</v>
      </c>
      <c r="I348" t="str">
        <f t="shared" si="5"/>
        <v>PL2_4228_452_AIT_0281_MI</v>
      </c>
      <c r="J348" t="s">
        <v>886</v>
      </c>
      <c r="K348" t="s">
        <v>631</v>
      </c>
      <c r="M348" t="s">
        <v>72</v>
      </c>
      <c r="N348" t="str">
        <f>_xlfn.CONCAT(A348, ",", B348, ",", I348, ",""", J348, """,""", K348, """,""", L348, """,""", M348, """")</f>
        <v>TAG,,PL2_4228_452_AIT_0281_MI,"BNR Blower No. 4 Inlet Ambient Humidity","fbAnalog","","(Constant := false, ExternalAccess := Read/Write)"</v>
      </c>
    </row>
    <row r="349" spans="1:14" x14ac:dyDescent="0.25">
      <c r="A349" t="s">
        <v>35</v>
      </c>
      <c r="C349" t="s">
        <v>639</v>
      </c>
      <c r="D349" s="14" t="s">
        <v>753</v>
      </c>
      <c r="E349" s="14" t="s">
        <v>646</v>
      </c>
      <c r="F349" t="s">
        <v>641</v>
      </c>
      <c r="G349" s="14" t="s">
        <v>1382</v>
      </c>
      <c r="H349" t="s">
        <v>1434</v>
      </c>
      <c r="I349" t="str">
        <f t="shared" si="5"/>
        <v>PL2_4228_452_FIT_0001_FAH</v>
      </c>
      <c r="J349" t="s">
        <v>1436</v>
      </c>
      <c r="K349" t="s">
        <v>632</v>
      </c>
      <c r="M349" t="s">
        <v>72</v>
      </c>
      <c r="N349" t="str">
        <f>_xlfn.CONCAT(A349, ",", B349, ",", I349, ",""", J349, """,""", K349, """,""", L349, """,""", M349, """")</f>
        <v>TAG,,PL2_4228_452_FIT_0001_FAH,"BNR Blower Discharge Header High Flow","fbDigital","","(Constant := false, ExternalAccess := Read/Write)"</v>
      </c>
    </row>
    <row r="350" spans="1:14" x14ac:dyDescent="0.25">
      <c r="A350" t="s">
        <v>35</v>
      </c>
      <c r="C350" t="s">
        <v>639</v>
      </c>
      <c r="D350" s="14" t="s">
        <v>753</v>
      </c>
      <c r="E350" s="14" t="s">
        <v>646</v>
      </c>
      <c r="F350" t="s">
        <v>641</v>
      </c>
      <c r="G350" s="14" t="s">
        <v>1382</v>
      </c>
      <c r="H350" t="s">
        <v>1435</v>
      </c>
      <c r="I350" t="str">
        <f t="shared" si="5"/>
        <v>PL2_4228_452_FIT_0001_FAL</v>
      </c>
      <c r="J350" t="s">
        <v>1437</v>
      </c>
      <c r="K350" t="s">
        <v>632</v>
      </c>
      <c r="M350" t="s">
        <v>72</v>
      </c>
      <c r="N350" t="str">
        <f>_xlfn.CONCAT(A350, ",", B350, ",", I350, ",""", J350, """,""", K350, """,""", L350, """,""", M350, """")</f>
        <v>TAG,,PL2_4228_452_FIT_0001_FAL,"BNR Blower Discharge Header Low Flow","fbDigital","","(Constant := false, ExternalAccess := Read/Write)"</v>
      </c>
    </row>
    <row r="351" spans="1:14" x14ac:dyDescent="0.25">
      <c r="A351" t="s">
        <v>35</v>
      </c>
      <c r="C351" t="s">
        <v>639</v>
      </c>
      <c r="D351" s="14" t="s">
        <v>753</v>
      </c>
      <c r="E351" s="14" t="s">
        <v>646</v>
      </c>
      <c r="F351" t="s">
        <v>803</v>
      </c>
      <c r="G351" s="14" t="s">
        <v>804</v>
      </c>
      <c r="I351" t="str">
        <f t="shared" si="5"/>
        <v>PL2_4228_452_PDIT_0221</v>
      </c>
      <c r="J351" t="s">
        <v>805</v>
      </c>
      <c r="K351" t="s">
        <v>631</v>
      </c>
      <c r="M351" t="s">
        <v>72</v>
      </c>
      <c r="N351" t="str">
        <f>_xlfn.CONCAT(A351, ",", B351, ",", I351, ",""", J351, """,""", K351, """,""", L351, """,""", M351, """")</f>
        <v>TAG,,PL2_4228_452_PDIT_0221,"BNR Blower No. 1 Filter Differential Pressure","fbAnalog","","(Constant := false, ExternalAccess := Read/Write)"</v>
      </c>
    </row>
    <row r="352" spans="1:14" x14ac:dyDescent="0.25">
      <c r="A352" t="s">
        <v>35</v>
      </c>
      <c r="C352" t="s">
        <v>639</v>
      </c>
      <c r="D352" s="14" t="s">
        <v>753</v>
      </c>
      <c r="E352" s="14" t="s">
        <v>646</v>
      </c>
      <c r="F352" t="s">
        <v>803</v>
      </c>
      <c r="G352" s="14" t="s">
        <v>825</v>
      </c>
      <c r="I352" t="str">
        <f t="shared" si="5"/>
        <v>PL2_4228_452_PDIT_0241</v>
      </c>
      <c r="J352" t="s">
        <v>828</v>
      </c>
      <c r="K352" t="s">
        <v>631</v>
      </c>
      <c r="M352" t="s">
        <v>72</v>
      </c>
      <c r="N352" t="str">
        <f>_xlfn.CONCAT(A352, ",", B352, ",", I352, ",""", J352, """,""", K352, """,""", L352, """,""", M352, """")</f>
        <v>TAG,,PL2_4228_452_PDIT_0241,"BNR Blower No. 2 Filter Differential Pressure","fbAnalog","","(Constant := false, ExternalAccess := Read/Write)"</v>
      </c>
    </row>
    <row r="353" spans="1:14" x14ac:dyDescent="0.25">
      <c r="A353" t="s">
        <v>35</v>
      </c>
      <c r="C353" t="s">
        <v>639</v>
      </c>
      <c r="D353" s="14" t="s">
        <v>753</v>
      </c>
      <c r="E353" s="14" t="s">
        <v>646</v>
      </c>
      <c r="F353" t="s">
        <v>803</v>
      </c>
      <c r="G353" s="14" t="s">
        <v>851</v>
      </c>
      <c r="I353" t="str">
        <f t="shared" si="5"/>
        <v>PL2_4228_452_PDIT_0261</v>
      </c>
      <c r="J353" t="s">
        <v>865</v>
      </c>
      <c r="K353" t="s">
        <v>631</v>
      </c>
      <c r="M353" t="s">
        <v>72</v>
      </c>
      <c r="N353" t="str">
        <f>_xlfn.CONCAT(A353, ",", B353, ",", I353, ",""", J353, """,""", K353, """,""", L353, """,""", M353, """")</f>
        <v>TAG,,PL2_4228_452_PDIT_0261,"BNR Blower No. 3 Filter Differential Pressure","fbAnalog","","(Constant := false, ExternalAccess := Read/Write)"</v>
      </c>
    </row>
    <row r="354" spans="1:14" x14ac:dyDescent="0.25">
      <c r="A354" t="s">
        <v>35</v>
      </c>
      <c r="C354" t="s">
        <v>639</v>
      </c>
      <c r="D354" s="14" t="s">
        <v>753</v>
      </c>
      <c r="E354" s="14" t="s">
        <v>646</v>
      </c>
      <c r="F354" t="s">
        <v>803</v>
      </c>
      <c r="G354" s="14" t="s">
        <v>860</v>
      </c>
      <c r="I354" t="str">
        <f t="shared" si="5"/>
        <v>PL2_4228_452_PDIT_0281</v>
      </c>
      <c r="J354" t="s">
        <v>884</v>
      </c>
      <c r="K354" t="s">
        <v>631</v>
      </c>
      <c r="M354" t="s">
        <v>72</v>
      </c>
      <c r="N354" t="str">
        <f>_xlfn.CONCAT(A354, ",", B354, ",", I354, ",""", J354, """,""", K354, """,""", L354, """,""", M354, """")</f>
        <v>TAG,,PL2_4228_452_PDIT_0281,"BNR Blower No. 4 Filter Differential Pressure","fbAnalog","","(Constant := false, ExternalAccess := Read/Write)"</v>
      </c>
    </row>
    <row r="355" spans="1:14" x14ac:dyDescent="0.25">
      <c r="A355" t="s">
        <v>35</v>
      </c>
      <c r="C355" t="s">
        <v>639</v>
      </c>
      <c r="D355" s="14" t="s">
        <v>753</v>
      </c>
      <c r="E355" s="14" t="s">
        <v>646</v>
      </c>
      <c r="F355" t="s">
        <v>1384</v>
      </c>
      <c r="G355" s="14" t="s">
        <v>1383</v>
      </c>
      <c r="H355" t="s">
        <v>1420</v>
      </c>
      <c r="I355" t="str">
        <f t="shared" si="5"/>
        <v>PL2_4228_452_PIT_0002_PAH</v>
      </c>
      <c r="J355" t="s">
        <v>1430</v>
      </c>
      <c r="K355" t="s">
        <v>632</v>
      </c>
      <c r="M355" t="s">
        <v>72</v>
      </c>
      <c r="N355" t="str">
        <f>_xlfn.CONCAT(A355, ",", B355, ",", I355, ",""", J355, """,""", K355, """,""", L355, """,""", M355, """")</f>
        <v>TAG,,PL2_4228_452_PIT_0002_PAH,"BNR Blower Discharge Header High Pressure","fbDigital","","(Constant := false, ExternalAccess := Read/Write)"</v>
      </c>
    </row>
    <row r="356" spans="1:14" x14ac:dyDescent="0.25">
      <c r="A356" t="s">
        <v>35</v>
      </c>
      <c r="C356" t="s">
        <v>639</v>
      </c>
      <c r="D356" s="14" t="s">
        <v>753</v>
      </c>
      <c r="E356" s="14" t="s">
        <v>646</v>
      </c>
      <c r="F356" t="s">
        <v>1384</v>
      </c>
      <c r="G356" s="14" t="s">
        <v>1383</v>
      </c>
      <c r="H356" t="s">
        <v>1421</v>
      </c>
      <c r="I356" t="str">
        <f t="shared" si="5"/>
        <v>PL2_4228_452_PIT_0002_PAL</v>
      </c>
      <c r="J356" t="s">
        <v>1431</v>
      </c>
      <c r="K356" t="s">
        <v>632</v>
      </c>
      <c r="M356" t="s">
        <v>72</v>
      </c>
      <c r="N356" t="str">
        <f>_xlfn.CONCAT(A356, ",", B356, ",", I356, ",""", J356, """,""", K356, """,""", L356, """,""", M356, """")</f>
        <v>TAG,,PL2_4228_452_PIT_0002_PAL,"BNR Blower Discharge Header Low Pressure","fbDigital","","(Constant := false, ExternalAccess := Read/Write)"</v>
      </c>
    </row>
    <row r="357" spans="1:14" x14ac:dyDescent="0.25">
      <c r="A357" t="s">
        <v>35</v>
      </c>
      <c r="C357" t="s">
        <v>639</v>
      </c>
      <c r="D357" s="14" t="s">
        <v>753</v>
      </c>
      <c r="E357" s="14" t="s">
        <v>646</v>
      </c>
      <c r="F357" t="s">
        <v>1384</v>
      </c>
      <c r="G357" s="14" t="s">
        <v>1388</v>
      </c>
      <c r="I357" t="str">
        <f t="shared" si="5"/>
        <v>PL2_4228_452_PIT_0215</v>
      </c>
      <c r="J357" t="s">
        <v>1396</v>
      </c>
      <c r="K357" t="s">
        <v>631</v>
      </c>
      <c r="M357" t="s">
        <v>72</v>
      </c>
      <c r="N357" t="str">
        <f>_xlfn.CONCAT(A357, ",", B357, ",", I357, ",""", J357, """,""", K357, """,""", L357, """,""", M357, """")</f>
        <v>TAG,,PL2_4228_452_PIT_0215,"BNR Blower No. 1 Core 1 Discharge Pressure","fbAnalog","","(Constant := false, ExternalAccess := Read/Write)"</v>
      </c>
    </row>
    <row r="358" spans="1:14" x14ac:dyDescent="0.25">
      <c r="A358" t="s">
        <v>35</v>
      </c>
      <c r="C358" t="s">
        <v>639</v>
      </c>
      <c r="D358" s="14" t="s">
        <v>753</v>
      </c>
      <c r="E358" s="14" t="s">
        <v>646</v>
      </c>
      <c r="F358" t="s">
        <v>1384</v>
      </c>
      <c r="G358" s="14" t="s">
        <v>1388</v>
      </c>
      <c r="H358" t="s">
        <v>1420</v>
      </c>
      <c r="I358" t="str">
        <f t="shared" si="5"/>
        <v>PL2_4228_452_PIT_0215_PAH</v>
      </c>
      <c r="J358" t="s">
        <v>1412</v>
      </c>
      <c r="K358" t="s">
        <v>632</v>
      </c>
      <c r="M358" t="s">
        <v>72</v>
      </c>
      <c r="N358" t="str">
        <f>_xlfn.CONCAT(A358, ",", B358, ",", I358, ",""", J358, """,""", K358, """,""", L358, """,""", M358, """")</f>
        <v>TAG,,PL2_4228_452_PIT_0215_PAH,"BNR Blower No. 1 Core 1 High Discharge Pressure","fbDigital","","(Constant := false, ExternalAccess := Read/Write)"</v>
      </c>
    </row>
    <row r="359" spans="1:14" x14ac:dyDescent="0.25">
      <c r="A359" t="s">
        <v>35</v>
      </c>
      <c r="C359" t="s">
        <v>639</v>
      </c>
      <c r="D359" s="14" t="s">
        <v>753</v>
      </c>
      <c r="E359" s="14" t="s">
        <v>646</v>
      </c>
      <c r="F359" t="s">
        <v>1384</v>
      </c>
      <c r="G359" s="14" t="s">
        <v>1388</v>
      </c>
      <c r="H359" t="s">
        <v>1421</v>
      </c>
      <c r="I359" t="str">
        <f t="shared" si="5"/>
        <v>PL2_4228_452_PIT_0215_PAL</v>
      </c>
      <c r="J359" t="s">
        <v>1429</v>
      </c>
      <c r="K359" t="s">
        <v>632</v>
      </c>
      <c r="M359" t="s">
        <v>72</v>
      </c>
      <c r="N359" t="str">
        <f>_xlfn.CONCAT(A359, ",", B359, ",", I359, ",""", J359, """,""", K359, """,""", L359, """,""", M359, """")</f>
        <v>TAG,,PL2_4228_452_PIT_0215_PAL,"BNR Blower No. 1 Core 1 Low Discharge Pressure","fbDigital","","(Constant := false, ExternalAccess := Read/Write)"</v>
      </c>
    </row>
    <row r="360" spans="1:14" x14ac:dyDescent="0.25">
      <c r="A360" t="s">
        <v>35</v>
      </c>
      <c r="C360" t="s">
        <v>639</v>
      </c>
      <c r="D360" s="14" t="s">
        <v>753</v>
      </c>
      <c r="E360" s="14" t="s">
        <v>646</v>
      </c>
      <c r="F360" t="s">
        <v>1384</v>
      </c>
      <c r="G360" s="14" t="s">
        <v>1395</v>
      </c>
      <c r="I360" t="str">
        <f t="shared" si="5"/>
        <v>PL2_4228_452_PIT_0225</v>
      </c>
      <c r="J360" t="s">
        <v>1397</v>
      </c>
      <c r="K360" t="s">
        <v>631</v>
      </c>
      <c r="M360" t="s">
        <v>72</v>
      </c>
      <c r="N360" t="str">
        <f>_xlfn.CONCAT(A360, ",", B360, ",", I360, ",""", J360, """,""", K360, """,""", L360, """,""", M360, """")</f>
        <v>TAG,,PL2_4228_452_PIT_0225,"BNR Blower No. 1 Core 2 Discharge Pressure","fbAnalog","","(Constant := false, ExternalAccess := Read/Write)"</v>
      </c>
    </row>
    <row r="361" spans="1:14" x14ac:dyDescent="0.25">
      <c r="A361" t="s">
        <v>35</v>
      </c>
      <c r="C361" t="s">
        <v>639</v>
      </c>
      <c r="D361" s="14" t="s">
        <v>753</v>
      </c>
      <c r="E361" s="14" t="s">
        <v>646</v>
      </c>
      <c r="F361" t="s">
        <v>1384</v>
      </c>
      <c r="G361" s="14" t="s">
        <v>1395</v>
      </c>
      <c r="H361" t="s">
        <v>1420</v>
      </c>
      <c r="I361" t="str">
        <f t="shared" si="5"/>
        <v>PL2_4228_452_PIT_0225_PAH</v>
      </c>
      <c r="J361" t="s">
        <v>1413</v>
      </c>
      <c r="K361" t="s">
        <v>632</v>
      </c>
      <c r="M361" t="s">
        <v>72</v>
      </c>
      <c r="N361" t="str">
        <f>_xlfn.CONCAT(A361, ",", B361, ",", I361, ",""", J361, """,""", K361, """,""", L361, """,""", M361, """")</f>
        <v>TAG,,PL2_4228_452_PIT_0225_PAH,"BNR Blower No. 1 Core 2 High Discharge Pressure","fbDigital","","(Constant := false, ExternalAccess := Read/Write)"</v>
      </c>
    </row>
    <row r="362" spans="1:14" x14ac:dyDescent="0.25">
      <c r="A362" t="s">
        <v>35</v>
      </c>
      <c r="C362" t="s">
        <v>639</v>
      </c>
      <c r="D362" s="14" t="s">
        <v>753</v>
      </c>
      <c r="E362" s="14" t="s">
        <v>646</v>
      </c>
      <c r="F362" t="s">
        <v>1384</v>
      </c>
      <c r="G362" s="14" t="s">
        <v>1395</v>
      </c>
      <c r="H362" t="s">
        <v>1421</v>
      </c>
      <c r="I362" t="str">
        <f t="shared" si="5"/>
        <v>PL2_4228_452_PIT_0225_PAL</v>
      </c>
      <c r="J362" t="s">
        <v>1422</v>
      </c>
      <c r="K362" t="s">
        <v>632</v>
      </c>
      <c r="M362" t="s">
        <v>72</v>
      </c>
      <c r="N362" t="str">
        <f>_xlfn.CONCAT(A362, ",", B362, ",", I362, ",""", J362, """,""", K362, """,""", L362, """,""", M362, """")</f>
        <v>TAG,,PL2_4228_452_PIT_0225_PAL,"BNR Blower No. 1 Core 2 Low Discharge Pressure","fbDigital","","(Constant := false, ExternalAccess := Read/Write)"</v>
      </c>
    </row>
    <row r="363" spans="1:14" x14ac:dyDescent="0.25">
      <c r="A363" t="s">
        <v>35</v>
      </c>
      <c r="C363" t="s">
        <v>639</v>
      </c>
      <c r="D363" s="14" t="s">
        <v>753</v>
      </c>
      <c r="E363" s="14" t="s">
        <v>646</v>
      </c>
      <c r="F363" t="s">
        <v>1384</v>
      </c>
      <c r="G363" s="14" t="s">
        <v>1394</v>
      </c>
      <c r="I363" t="str">
        <f t="shared" si="5"/>
        <v>PL2_4228_452_PIT_0235</v>
      </c>
      <c r="J363" t="s">
        <v>1398</v>
      </c>
      <c r="K363" t="s">
        <v>631</v>
      </c>
      <c r="M363" t="s">
        <v>72</v>
      </c>
      <c r="N363" t="str">
        <f>_xlfn.CONCAT(A363, ",", B363, ",", I363, ",""", J363, """,""", K363, """,""", L363, """,""", M363, """")</f>
        <v>TAG,,PL2_4228_452_PIT_0235,"BNR Blower No. 2 Core 1 Discharge Pressure","fbAnalog","","(Constant := false, ExternalAccess := Read/Write)"</v>
      </c>
    </row>
    <row r="364" spans="1:14" x14ac:dyDescent="0.25">
      <c r="A364" t="s">
        <v>35</v>
      </c>
      <c r="C364" t="s">
        <v>639</v>
      </c>
      <c r="D364" s="14" t="s">
        <v>753</v>
      </c>
      <c r="E364" s="14" t="s">
        <v>646</v>
      </c>
      <c r="F364" t="s">
        <v>1384</v>
      </c>
      <c r="G364" s="14" t="s">
        <v>1394</v>
      </c>
      <c r="H364" t="s">
        <v>1420</v>
      </c>
      <c r="I364" t="str">
        <f t="shared" si="5"/>
        <v>PL2_4228_452_PIT_0235_PAH</v>
      </c>
      <c r="J364" t="s">
        <v>1414</v>
      </c>
      <c r="K364" t="s">
        <v>632</v>
      </c>
      <c r="M364" t="s">
        <v>72</v>
      </c>
      <c r="N364" t="str">
        <f>_xlfn.CONCAT(A364, ",", B364, ",", I364, ",""", J364, """,""", K364, """,""", L364, """,""", M364, """")</f>
        <v>TAG,,PL2_4228_452_PIT_0235_PAH,"BNR Blower No. 2 Core 1 High Discharge Pressure","fbDigital","","(Constant := false, ExternalAccess := Read/Write)"</v>
      </c>
    </row>
    <row r="365" spans="1:14" x14ac:dyDescent="0.25">
      <c r="A365" t="s">
        <v>35</v>
      </c>
      <c r="C365" t="s">
        <v>639</v>
      </c>
      <c r="D365" s="14" t="s">
        <v>753</v>
      </c>
      <c r="E365" s="14" t="s">
        <v>646</v>
      </c>
      <c r="F365" t="s">
        <v>1384</v>
      </c>
      <c r="G365" s="14" t="s">
        <v>1394</v>
      </c>
      <c r="H365" t="s">
        <v>1421</v>
      </c>
      <c r="I365" t="str">
        <f t="shared" si="5"/>
        <v>PL2_4228_452_PIT_0235_PAL</v>
      </c>
      <c r="J365" t="s">
        <v>1423</v>
      </c>
      <c r="K365" t="s">
        <v>632</v>
      </c>
      <c r="M365" t="s">
        <v>72</v>
      </c>
      <c r="N365" t="str">
        <f>_xlfn.CONCAT(A365, ",", B365, ",", I365, ",""", J365, """,""", K365, """,""", L365, """,""", M365, """")</f>
        <v>TAG,,PL2_4228_452_PIT_0235_PAL,"BNR Blower No. 2 Core 1 Low Discharge Pressure","fbDigital","","(Constant := false, ExternalAccess := Read/Write)"</v>
      </c>
    </row>
    <row r="366" spans="1:14" x14ac:dyDescent="0.25">
      <c r="A366" t="s">
        <v>35</v>
      </c>
      <c r="C366" t="s">
        <v>639</v>
      </c>
      <c r="D366" s="14" t="s">
        <v>753</v>
      </c>
      <c r="E366" s="14" t="s">
        <v>646</v>
      </c>
      <c r="F366" t="s">
        <v>1384</v>
      </c>
      <c r="G366" s="14" t="s">
        <v>1393</v>
      </c>
      <c r="I366" t="str">
        <f t="shared" si="5"/>
        <v>PL2_4228_452_PIT_0245</v>
      </c>
      <c r="J366" t="s">
        <v>1399</v>
      </c>
      <c r="K366" t="s">
        <v>631</v>
      </c>
      <c r="M366" t="s">
        <v>72</v>
      </c>
      <c r="N366" t="str">
        <f>_xlfn.CONCAT(A366, ",", B366, ",", I366, ",""", J366, """,""", K366, """,""", L366, """,""", M366, """")</f>
        <v>TAG,,PL2_4228_452_PIT_0245,"BNR Blower No. 2 Core 2 Discharge Pressure","fbAnalog","","(Constant := false, ExternalAccess := Read/Write)"</v>
      </c>
    </row>
    <row r="367" spans="1:14" x14ac:dyDescent="0.25">
      <c r="A367" t="s">
        <v>35</v>
      </c>
      <c r="C367" t="s">
        <v>639</v>
      </c>
      <c r="D367" s="14" t="s">
        <v>753</v>
      </c>
      <c r="E367" s="14" t="s">
        <v>646</v>
      </c>
      <c r="F367" t="s">
        <v>1384</v>
      </c>
      <c r="G367" s="14" t="s">
        <v>1393</v>
      </c>
      <c r="H367" t="s">
        <v>1420</v>
      </c>
      <c r="I367" t="str">
        <f t="shared" si="5"/>
        <v>PL2_4228_452_PIT_0245_PAH</v>
      </c>
      <c r="J367" t="s">
        <v>1415</v>
      </c>
      <c r="K367" t="s">
        <v>632</v>
      </c>
      <c r="M367" t="s">
        <v>72</v>
      </c>
      <c r="N367" t="str">
        <f>_xlfn.CONCAT(A367, ",", B367, ",", I367, ",""", J367, """,""", K367, """,""", L367, """,""", M367, """")</f>
        <v>TAG,,PL2_4228_452_PIT_0245_PAH,"BNR Blower No. 2 Core 2 High Discharge Pressure","fbDigital","","(Constant := false, ExternalAccess := Read/Write)"</v>
      </c>
    </row>
    <row r="368" spans="1:14" x14ac:dyDescent="0.25">
      <c r="A368" t="s">
        <v>35</v>
      </c>
      <c r="C368" t="s">
        <v>639</v>
      </c>
      <c r="D368" s="14" t="s">
        <v>753</v>
      </c>
      <c r="E368" s="14" t="s">
        <v>646</v>
      </c>
      <c r="F368" t="s">
        <v>1384</v>
      </c>
      <c r="G368" s="14" t="s">
        <v>1393</v>
      </c>
      <c r="H368" t="s">
        <v>1421</v>
      </c>
      <c r="I368" t="str">
        <f t="shared" si="5"/>
        <v>PL2_4228_452_PIT_0245_PAL</v>
      </c>
      <c r="J368" t="s">
        <v>1424</v>
      </c>
      <c r="K368" t="s">
        <v>632</v>
      </c>
      <c r="M368" t="s">
        <v>72</v>
      </c>
      <c r="N368" t="str">
        <f>_xlfn.CONCAT(A368, ",", B368, ",", I368, ",""", J368, """,""", K368, """,""", L368, """,""", M368, """")</f>
        <v>TAG,,PL2_4228_452_PIT_0245_PAL,"BNR Blower No. 2 Core 2 Low Discharge Pressure","fbDigital","","(Constant := false, ExternalAccess := Read/Write)"</v>
      </c>
    </row>
    <row r="369" spans="1:14" x14ac:dyDescent="0.25">
      <c r="A369" t="s">
        <v>35</v>
      </c>
      <c r="C369" t="s">
        <v>639</v>
      </c>
      <c r="D369" s="14" t="s">
        <v>753</v>
      </c>
      <c r="E369" s="14" t="s">
        <v>646</v>
      </c>
      <c r="F369" t="s">
        <v>1384</v>
      </c>
      <c r="G369" s="14" t="s">
        <v>1392</v>
      </c>
      <c r="I369" t="str">
        <f t="shared" si="5"/>
        <v>PL2_4228_452_PIT_0255</v>
      </c>
      <c r="J369" t="s">
        <v>1400</v>
      </c>
      <c r="K369" t="s">
        <v>631</v>
      </c>
      <c r="M369" t="s">
        <v>72</v>
      </c>
      <c r="N369" t="str">
        <f>_xlfn.CONCAT(A369, ",", B369, ",", I369, ",""", J369, """,""", K369, """,""", L369, """,""", M369, """")</f>
        <v>TAG,,PL2_4228_452_PIT_0255,"BNR Blower No. 3 Core 1 Discharge Pressure","fbAnalog","","(Constant := false, ExternalAccess := Read/Write)"</v>
      </c>
    </row>
    <row r="370" spans="1:14" x14ac:dyDescent="0.25">
      <c r="A370" t="s">
        <v>35</v>
      </c>
      <c r="C370" t="s">
        <v>639</v>
      </c>
      <c r="D370" s="14" t="s">
        <v>753</v>
      </c>
      <c r="E370" s="14" t="s">
        <v>646</v>
      </c>
      <c r="F370" t="s">
        <v>1384</v>
      </c>
      <c r="G370" s="14" t="s">
        <v>1392</v>
      </c>
      <c r="H370" t="s">
        <v>1420</v>
      </c>
      <c r="I370" t="str">
        <f t="shared" si="5"/>
        <v>PL2_4228_452_PIT_0255_PAH</v>
      </c>
      <c r="J370" t="s">
        <v>1416</v>
      </c>
      <c r="K370" t="s">
        <v>632</v>
      </c>
      <c r="M370" t="s">
        <v>72</v>
      </c>
      <c r="N370" t="str">
        <f>_xlfn.CONCAT(A370, ",", B370, ",", I370, ",""", J370, """,""", K370, """,""", L370, """,""", M370, """")</f>
        <v>TAG,,PL2_4228_452_PIT_0255_PAH,"BNR Blower No. 3 Core 1 High Discharge Pressure","fbDigital","","(Constant := false, ExternalAccess := Read/Write)"</v>
      </c>
    </row>
    <row r="371" spans="1:14" x14ac:dyDescent="0.25">
      <c r="A371" t="s">
        <v>35</v>
      </c>
      <c r="C371" t="s">
        <v>639</v>
      </c>
      <c r="D371" s="14" t="s">
        <v>753</v>
      </c>
      <c r="E371" s="14" t="s">
        <v>646</v>
      </c>
      <c r="F371" t="s">
        <v>1384</v>
      </c>
      <c r="G371" s="14" t="s">
        <v>1392</v>
      </c>
      <c r="H371" t="s">
        <v>1421</v>
      </c>
      <c r="I371" t="str">
        <f t="shared" si="5"/>
        <v>PL2_4228_452_PIT_0255_PAL</v>
      </c>
      <c r="J371" t="s">
        <v>1425</v>
      </c>
      <c r="K371" t="s">
        <v>632</v>
      </c>
      <c r="M371" t="s">
        <v>72</v>
      </c>
      <c r="N371" t="str">
        <f>_xlfn.CONCAT(A371, ",", B371, ",", I371, ",""", J371, """,""", K371, """,""", L371, """,""", M371, """")</f>
        <v>TAG,,PL2_4228_452_PIT_0255_PAL,"BNR Blower No. 3 Core 1 Low Discharge Pressure","fbDigital","","(Constant := false, ExternalAccess := Read/Write)"</v>
      </c>
    </row>
    <row r="372" spans="1:14" x14ac:dyDescent="0.25">
      <c r="A372" t="s">
        <v>35</v>
      </c>
      <c r="C372" t="s">
        <v>639</v>
      </c>
      <c r="D372" s="14" t="s">
        <v>753</v>
      </c>
      <c r="E372" s="14" t="s">
        <v>646</v>
      </c>
      <c r="F372" t="s">
        <v>1384</v>
      </c>
      <c r="G372" s="14" t="s">
        <v>1391</v>
      </c>
      <c r="I372" t="str">
        <f t="shared" si="5"/>
        <v>PL2_4228_452_PIT_0265</v>
      </c>
      <c r="J372" t="s">
        <v>1401</v>
      </c>
      <c r="K372" t="s">
        <v>631</v>
      </c>
      <c r="M372" t="s">
        <v>72</v>
      </c>
      <c r="N372" t="str">
        <f>_xlfn.CONCAT(A372, ",", B372, ",", I372, ",""", J372, """,""", K372, """,""", L372, """,""", M372, """")</f>
        <v>TAG,,PL2_4228_452_PIT_0265,"BNR Blower No. 3 Core 2 Discharge Pressure","fbAnalog","","(Constant := false, ExternalAccess := Read/Write)"</v>
      </c>
    </row>
    <row r="373" spans="1:14" x14ac:dyDescent="0.25">
      <c r="A373" t="s">
        <v>35</v>
      </c>
      <c r="C373" t="s">
        <v>639</v>
      </c>
      <c r="D373" s="14" t="s">
        <v>753</v>
      </c>
      <c r="E373" s="14" t="s">
        <v>646</v>
      </c>
      <c r="F373" t="s">
        <v>1384</v>
      </c>
      <c r="G373" s="14" t="s">
        <v>1391</v>
      </c>
      <c r="H373" t="s">
        <v>1420</v>
      </c>
      <c r="I373" t="str">
        <f t="shared" si="5"/>
        <v>PL2_4228_452_PIT_0265_PAH</v>
      </c>
      <c r="J373" t="s">
        <v>1417</v>
      </c>
      <c r="K373" t="s">
        <v>632</v>
      </c>
      <c r="M373" t="s">
        <v>72</v>
      </c>
      <c r="N373" t="str">
        <f>_xlfn.CONCAT(A373, ",", B373, ",", I373, ",""", J373, """,""", K373, """,""", L373, """,""", M373, """")</f>
        <v>TAG,,PL2_4228_452_PIT_0265_PAH,"BNR Blower No. 3 Core 2 High Discharge Pressure","fbDigital","","(Constant := false, ExternalAccess := Read/Write)"</v>
      </c>
    </row>
    <row r="374" spans="1:14" x14ac:dyDescent="0.25">
      <c r="A374" t="s">
        <v>35</v>
      </c>
      <c r="C374" t="s">
        <v>639</v>
      </c>
      <c r="D374" s="14" t="s">
        <v>753</v>
      </c>
      <c r="E374" s="14" t="s">
        <v>646</v>
      </c>
      <c r="F374" t="s">
        <v>1384</v>
      </c>
      <c r="G374" s="14" t="s">
        <v>1391</v>
      </c>
      <c r="H374" t="s">
        <v>1421</v>
      </c>
      <c r="I374" t="str">
        <f t="shared" si="5"/>
        <v>PL2_4228_452_PIT_0265_PAL</v>
      </c>
      <c r="J374" t="s">
        <v>1426</v>
      </c>
      <c r="K374" t="s">
        <v>632</v>
      </c>
      <c r="M374" t="s">
        <v>72</v>
      </c>
      <c r="N374" t="str">
        <f>_xlfn.CONCAT(A374, ",", B374, ",", I374, ",""", J374, """,""", K374, """,""", L374, """,""", M374, """")</f>
        <v>TAG,,PL2_4228_452_PIT_0265_PAL,"BNR Blower No. 3 Core 2 Low Discharge Pressure","fbDigital","","(Constant := false, ExternalAccess := Read/Write)"</v>
      </c>
    </row>
    <row r="375" spans="1:14" x14ac:dyDescent="0.25">
      <c r="A375" t="s">
        <v>35</v>
      </c>
      <c r="C375" t="s">
        <v>639</v>
      </c>
      <c r="D375" s="14" t="s">
        <v>753</v>
      </c>
      <c r="E375" s="14" t="s">
        <v>646</v>
      </c>
      <c r="F375" t="s">
        <v>1384</v>
      </c>
      <c r="G375" s="14" t="s">
        <v>1390</v>
      </c>
      <c r="I375" t="str">
        <f t="shared" si="5"/>
        <v>PL2_4228_452_PIT_0275</v>
      </c>
      <c r="J375" t="s">
        <v>1402</v>
      </c>
      <c r="K375" t="s">
        <v>631</v>
      </c>
      <c r="M375" t="s">
        <v>72</v>
      </c>
      <c r="N375" t="str">
        <f>_xlfn.CONCAT(A375, ",", B375, ",", I375, ",""", J375, """,""", K375, """,""", L375, """,""", M375, """")</f>
        <v>TAG,,PL2_4228_452_PIT_0275,"BNR Blower No. 4 Core 1 Discharge Pressure","fbAnalog","","(Constant := false, ExternalAccess := Read/Write)"</v>
      </c>
    </row>
    <row r="376" spans="1:14" x14ac:dyDescent="0.25">
      <c r="A376" t="s">
        <v>35</v>
      </c>
      <c r="C376" t="s">
        <v>639</v>
      </c>
      <c r="D376" s="14" t="s">
        <v>753</v>
      </c>
      <c r="E376" s="14" t="s">
        <v>646</v>
      </c>
      <c r="F376" t="s">
        <v>1384</v>
      </c>
      <c r="G376" s="14" t="s">
        <v>1390</v>
      </c>
      <c r="H376" t="s">
        <v>1420</v>
      </c>
      <c r="I376" t="str">
        <f t="shared" si="5"/>
        <v>PL2_4228_452_PIT_0275_PAH</v>
      </c>
      <c r="J376" t="s">
        <v>1418</v>
      </c>
      <c r="K376" t="s">
        <v>632</v>
      </c>
      <c r="M376" t="s">
        <v>72</v>
      </c>
      <c r="N376" t="str">
        <f>_xlfn.CONCAT(A376, ",", B376, ",", I376, ",""", J376, """,""", K376, """,""", L376, """,""", M376, """")</f>
        <v>TAG,,PL2_4228_452_PIT_0275_PAH,"BNR Blower No. 4 Core 1 High Discharge Pressure","fbDigital","","(Constant := false, ExternalAccess := Read/Write)"</v>
      </c>
    </row>
    <row r="377" spans="1:14" x14ac:dyDescent="0.25">
      <c r="A377" t="s">
        <v>35</v>
      </c>
      <c r="C377" t="s">
        <v>639</v>
      </c>
      <c r="D377" s="14" t="s">
        <v>753</v>
      </c>
      <c r="E377" s="14" t="s">
        <v>646</v>
      </c>
      <c r="F377" t="s">
        <v>1384</v>
      </c>
      <c r="G377" s="14" t="s">
        <v>1390</v>
      </c>
      <c r="H377" t="s">
        <v>1421</v>
      </c>
      <c r="I377" t="str">
        <f t="shared" si="5"/>
        <v>PL2_4228_452_PIT_0275_PAL</v>
      </c>
      <c r="J377" t="s">
        <v>1427</v>
      </c>
      <c r="K377" t="s">
        <v>632</v>
      </c>
      <c r="M377" t="s">
        <v>72</v>
      </c>
      <c r="N377" t="str">
        <f>_xlfn.CONCAT(A377, ",", B377, ",", I377, ",""", J377, """,""", K377, """,""", L377, """,""", M377, """")</f>
        <v>TAG,,PL2_4228_452_PIT_0275_PAL,"BNR Blower No. 4 Core 1 Low Discharge Pressure","fbDigital","","(Constant := false, ExternalAccess := Read/Write)"</v>
      </c>
    </row>
    <row r="378" spans="1:14" x14ac:dyDescent="0.25">
      <c r="A378" t="s">
        <v>35</v>
      </c>
      <c r="C378" t="s">
        <v>639</v>
      </c>
      <c r="D378" s="14" t="s">
        <v>753</v>
      </c>
      <c r="E378" s="14" t="s">
        <v>646</v>
      </c>
      <c r="F378" t="s">
        <v>1384</v>
      </c>
      <c r="G378" s="14" t="s">
        <v>1389</v>
      </c>
      <c r="I378" t="str">
        <f t="shared" si="5"/>
        <v>PL2_4228_452_PIT_0285</v>
      </c>
      <c r="J378" t="s">
        <v>1403</v>
      </c>
      <c r="K378" t="s">
        <v>631</v>
      </c>
      <c r="M378" t="s">
        <v>72</v>
      </c>
      <c r="N378" t="str">
        <f>_xlfn.CONCAT(A378, ",", B378, ",", I378, ",""", J378, """,""", K378, """,""", L378, """,""", M378, """")</f>
        <v>TAG,,PL2_4228_452_PIT_0285,"BNR Blower No. 4 Core 2 Discharge Pressure","fbAnalog","","(Constant := false, ExternalAccess := Read/Write)"</v>
      </c>
    </row>
    <row r="379" spans="1:14" x14ac:dyDescent="0.25">
      <c r="A379" t="s">
        <v>35</v>
      </c>
      <c r="C379" t="s">
        <v>639</v>
      </c>
      <c r="D379" s="14" t="s">
        <v>753</v>
      </c>
      <c r="E379" s="14" t="s">
        <v>646</v>
      </c>
      <c r="F379" t="s">
        <v>1384</v>
      </c>
      <c r="G379" s="14" t="s">
        <v>1389</v>
      </c>
      <c r="H379" t="s">
        <v>1420</v>
      </c>
      <c r="I379" t="str">
        <f t="shared" si="5"/>
        <v>PL2_4228_452_PIT_0285_PAH</v>
      </c>
      <c r="J379" t="s">
        <v>1419</v>
      </c>
      <c r="K379" t="s">
        <v>632</v>
      </c>
      <c r="M379" t="s">
        <v>72</v>
      </c>
      <c r="N379" t="str">
        <f>_xlfn.CONCAT(A379, ",", B379, ",", I379, ",""", J379, """,""", K379, """,""", L379, """,""", M379, """")</f>
        <v>TAG,,PL2_4228_452_PIT_0285_PAH,"BNR Blower No. 4 Core 2 High Discharge Pressure","fbDigital","","(Constant := false, ExternalAccess := Read/Write)"</v>
      </c>
    </row>
    <row r="380" spans="1:14" x14ac:dyDescent="0.25">
      <c r="A380" t="s">
        <v>35</v>
      </c>
      <c r="C380" t="s">
        <v>639</v>
      </c>
      <c r="D380" s="14" t="s">
        <v>753</v>
      </c>
      <c r="E380" s="14" t="s">
        <v>646</v>
      </c>
      <c r="F380" t="s">
        <v>1384</v>
      </c>
      <c r="G380" s="14" t="s">
        <v>1389</v>
      </c>
      <c r="H380" t="s">
        <v>1421</v>
      </c>
      <c r="I380" t="str">
        <f t="shared" si="5"/>
        <v>PL2_4228_452_PIT_0285_PAL</v>
      </c>
      <c r="J380" t="s">
        <v>1428</v>
      </c>
      <c r="K380" t="s">
        <v>632</v>
      </c>
      <c r="M380" t="s">
        <v>72</v>
      </c>
      <c r="N380" t="str">
        <f>_xlfn.CONCAT(A380, ",", B380, ",", I380, ",""", J380, """,""", K380, """,""", L380, """,""", M380, """")</f>
        <v>TAG,,PL2_4228_452_PIT_0285_PAL,"BNR Blower No. 4 Core 2 Low Discharge Pressure","fbDigital","","(Constant := false, ExternalAccess := Read/Write)"</v>
      </c>
    </row>
    <row r="381" spans="1:14" x14ac:dyDescent="0.25">
      <c r="A381" t="s">
        <v>35</v>
      </c>
      <c r="C381" t="s">
        <v>639</v>
      </c>
      <c r="D381" s="14" t="s">
        <v>753</v>
      </c>
      <c r="E381" s="14" t="s">
        <v>646</v>
      </c>
      <c r="F381" t="s">
        <v>798</v>
      </c>
      <c r="G381" s="14" t="s">
        <v>804</v>
      </c>
      <c r="I381" t="str">
        <f t="shared" si="5"/>
        <v>PL2_4228_452_TIT_0221</v>
      </c>
      <c r="J381" t="s">
        <v>807</v>
      </c>
      <c r="K381" t="s">
        <v>631</v>
      </c>
      <c r="M381" t="s">
        <v>72</v>
      </c>
      <c r="N381" t="str">
        <f>_xlfn.CONCAT(A381, ",", B381, ",", I381, ",""", J381, """,""", K381, """,""", L381, """,""", M381, """")</f>
        <v>TAG,,PL2_4228_452_TIT_0221,"BNR Blower No. 1 Inlet Ambient Temperature","fbAnalog","","(Constant := false, ExternalAccess := Read/Write)"</v>
      </c>
    </row>
    <row r="382" spans="1:14" x14ac:dyDescent="0.25">
      <c r="A382" t="s">
        <v>35</v>
      </c>
      <c r="C382" t="s">
        <v>639</v>
      </c>
      <c r="D382" s="14" t="s">
        <v>753</v>
      </c>
      <c r="E382" s="14" t="s">
        <v>646</v>
      </c>
      <c r="F382" t="s">
        <v>798</v>
      </c>
      <c r="G382" s="14" t="s">
        <v>825</v>
      </c>
      <c r="I382" t="str">
        <f t="shared" si="5"/>
        <v>PL2_4228_452_TIT_0241</v>
      </c>
      <c r="J382" t="s">
        <v>829</v>
      </c>
      <c r="K382" t="s">
        <v>631</v>
      </c>
      <c r="M382" t="s">
        <v>72</v>
      </c>
      <c r="N382" t="str">
        <f>_xlfn.CONCAT(A382, ",", B382, ",", I382, ",""", J382, """,""", K382, """,""", L382, """,""", M382, """")</f>
        <v>TAG,,PL2_4228_452_TIT_0241,"BNR Blower No. 2 Inlet Ambient Temperature","fbAnalog","","(Constant := false, ExternalAccess := Read/Write)"</v>
      </c>
    </row>
    <row r="383" spans="1:14" x14ac:dyDescent="0.25">
      <c r="A383" t="s">
        <v>35</v>
      </c>
      <c r="C383" t="s">
        <v>639</v>
      </c>
      <c r="D383" s="14" t="s">
        <v>753</v>
      </c>
      <c r="E383" s="14" t="s">
        <v>646</v>
      </c>
      <c r="F383" t="s">
        <v>798</v>
      </c>
      <c r="G383" s="14" t="s">
        <v>851</v>
      </c>
      <c r="I383" t="str">
        <f t="shared" si="5"/>
        <v>PL2_4228_452_TIT_0261</v>
      </c>
      <c r="J383" t="s">
        <v>866</v>
      </c>
      <c r="K383" t="s">
        <v>631</v>
      </c>
      <c r="M383" t="s">
        <v>72</v>
      </c>
      <c r="N383" t="str">
        <f>_xlfn.CONCAT(A383, ",", B383, ",", I383, ",""", J383, """,""", K383, """,""", L383, """,""", M383, """")</f>
        <v>TAG,,PL2_4228_452_TIT_0261,"BNR Blower No. 3 Inlet Ambient Temperature","fbAnalog","","(Constant := false, ExternalAccess := Read/Write)"</v>
      </c>
    </row>
    <row r="384" spans="1:14" x14ac:dyDescent="0.25">
      <c r="A384" t="s">
        <v>35</v>
      </c>
      <c r="C384" t="s">
        <v>639</v>
      </c>
      <c r="D384" s="14" t="s">
        <v>753</v>
      </c>
      <c r="E384" s="14" t="s">
        <v>646</v>
      </c>
      <c r="F384" t="s">
        <v>798</v>
      </c>
      <c r="G384" s="14" t="s">
        <v>860</v>
      </c>
      <c r="I384" t="str">
        <f t="shared" si="5"/>
        <v>PL2_4228_452_TIT_0281</v>
      </c>
      <c r="J384" t="s">
        <v>885</v>
      </c>
      <c r="K384" t="s">
        <v>631</v>
      </c>
      <c r="M384" t="s">
        <v>72</v>
      </c>
      <c r="N384" t="str">
        <f>_xlfn.CONCAT(A384, ",", B384, ",", I384, ",""", J384, """,""", K384, """,""", L384, """,""", M384, """")</f>
        <v>TAG,,PL2_4228_452_TIT_0281,"BNR Blower No. 4 Inlet Ambient Temperature","fbAnalog","","(Constant := false, ExternalAccess := Read/Write)"</v>
      </c>
    </row>
    <row r="385" spans="1:14" x14ac:dyDescent="0.25">
      <c r="A385" t="s">
        <v>35</v>
      </c>
      <c r="C385" t="s">
        <v>639</v>
      </c>
      <c r="D385" s="14" t="s">
        <v>753</v>
      </c>
      <c r="E385" s="14" t="s">
        <v>765</v>
      </c>
      <c r="F385" t="s">
        <v>798</v>
      </c>
      <c r="G385" s="14" t="s">
        <v>653</v>
      </c>
      <c r="I385" t="str">
        <f t="shared" si="5"/>
        <v>PL2_4228_461_TIT_0212</v>
      </c>
      <c r="J385" t="s">
        <v>800</v>
      </c>
      <c r="K385" t="s">
        <v>631</v>
      </c>
      <c r="M385" t="s">
        <v>72</v>
      </c>
      <c r="N385" t="str">
        <f>_xlfn.CONCAT(A385, ",", B385, ",", I385, ",""", J385, """,""", K385, """,""", L385, """,""", M385, """")</f>
        <v>TAG,,PL2_4228_461_TIT_0212,"BNR Blower No. 1 Core 1 Inlet Temp","fbAnalog","","(Constant := false, ExternalAccess := Read/Write)"</v>
      </c>
    </row>
    <row r="386" spans="1:14" x14ac:dyDescent="0.25">
      <c r="A386" t="s">
        <v>35</v>
      </c>
      <c r="C386" t="s">
        <v>639</v>
      </c>
      <c r="D386" s="14" t="s">
        <v>753</v>
      </c>
      <c r="E386" s="14" t="s">
        <v>765</v>
      </c>
      <c r="F386" t="s">
        <v>798</v>
      </c>
      <c r="G386" s="14" t="s">
        <v>794</v>
      </c>
      <c r="I386" t="str">
        <f t="shared" si="5"/>
        <v>PL2_4228_461_TIT_0213A</v>
      </c>
      <c r="J386" t="s">
        <v>796</v>
      </c>
      <c r="K386" t="s">
        <v>631</v>
      </c>
      <c r="M386" t="s">
        <v>72</v>
      </c>
      <c r="N386" t="str">
        <f>_xlfn.CONCAT(A386, ",", B386, ",", I386, ",""", J386, """,""", K386, """,""", L386, """,""", M386, """")</f>
        <v>TAG,,PL2_4228_461_TIT_0213A,"BNR Blower No. 1 Core 1 Motor Temp","fbAnalog","","(Constant := false, ExternalAccess := Read/Write)"</v>
      </c>
    </row>
    <row r="387" spans="1:14" x14ac:dyDescent="0.25">
      <c r="A387" t="s">
        <v>35</v>
      </c>
      <c r="C387" t="s">
        <v>639</v>
      </c>
      <c r="D387" s="14" t="s">
        <v>753</v>
      </c>
      <c r="E387" s="14" t="s">
        <v>765</v>
      </c>
      <c r="F387" t="s">
        <v>798</v>
      </c>
      <c r="G387" s="14" t="s">
        <v>797</v>
      </c>
      <c r="I387" t="str">
        <f t="shared" ref="I387:I426" si="6">_xlfn.CONCAT(C387,"_",D387,"_",_xlfn.CONCAT(E387, "_"),F387,"_",G387, IF(ISBLANK(H387), "", _xlfn.CONCAT("_",H387)))</f>
        <v>PL2_4228_461_TIT_0213B</v>
      </c>
      <c r="J387" t="s">
        <v>795</v>
      </c>
      <c r="K387" t="s">
        <v>631</v>
      </c>
      <c r="M387" t="s">
        <v>72</v>
      </c>
      <c r="N387" t="str">
        <f>_xlfn.CONCAT(A387, ",", B387, ",", I387, ",""", J387, """,""", K387, """,""", L387, """,""", M387, """")</f>
        <v>TAG,,PL2_4228_461_TIT_0213B,"BNR Blower No. 1 Core 1 Bearing Temp","fbAnalog","","(Constant := false, ExternalAccess := Read/Write)"</v>
      </c>
    </row>
    <row r="388" spans="1:14" x14ac:dyDescent="0.25">
      <c r="A388" t="s">
        <v>35</v>
      </c>
      <c r="C388" t="s">
        <v>639</v>
      </c>
      <c r="D388" s="14" t="s">
        <v>753</v>
      </c>
      <c r="E388" s="14" t="s">
        <v>765</v>
      </c>
      <c r="F388" t="s">
        <v>798</v>
      </c>
      <c r="G388" s="14" t="s">
        <v>802</v>
      </c>
      <c r="I388" t="str">
        <f t="shared" si="6"/>
        <v>PL2_4228_461_TIT_0214</v>
      </c>
      <c r="J388" t="s">
        <v>801</v>
      </c>
      <c r="K388" t="s">
        <v>631</v>
      </c>
      <c r="M388" t="s">
        <v>72</v>
      </c>
      <c r="N388" t="str">
        <f>_xlfn.CONCAT(A388, ",", B388, ",", I388, ",""", J388, """,""", K388, """,""", L388, """,""", M388, """")</f>
        <v>TAG,,PL2_4228_461_TIT_0214,"BNR Blower No. 1 Core 1 Discharge Temp","fbAnalog","","(Constant := false, ExternalAccess := Read/Write)"</v>
      </c>
    </row>
    <row r="389" spans="1:14" x14ac:dyDescent="0.25">
      <c r="A389" t="s">
        <v>35</v>
      </c>
      <c r="C389" t="s">
        <v>639</v>
      </c>
      <c r="D389" s="14" t="s">
        <v>753</v>
      </c>
      <c r="E389" s="14" t="s">
        <v>765</v>
      </c>
      <c r="F389" t="s">
        <v>798</v>
      </c>
      <c r="G389" s="14" t="s">
        <v>793</v>
      </c>
      <c r="I389" t="str">
        <f t="shared" si="6"/>
        <v>PL2_4228_461_TIT_0222</v>
      </c>
      <c r="J389" t="s">
        <v>1092</v>
      </c>
      <c r="K389" t="s">
        <v>631</v>
      </c>
      <c r="M389" t="s">
        <v>72</v>
      </c>
      <c r="N389" t="str">
        <f>_xlfn.CONCAT(A389, ",", B389, ",", I389, ",""", J389, """,""", K389, """,""", L389, """,""", M389, """")</f>
        <v>TAG,,PL2_4228_461_TIT_0222,"BNR Blower No. 1 Core 2 Inlet Temp","fbAnalog","","(Constant := false, ExternalAccess := Read/Write)"</v>
      </c>
    </row>
    <row r="390" spans="1:14" x14ac:dyDescent="0.25">
      <c r="A390" t="s">
        <v>35</v>
      </c>
      <c r="C390" t="s">
        <v>639</v>
      </c>
      <c r="D390" s="14" t="s">
        <v>753</v>
      </c>
      <c r="E390" s="14" t="s">
        <v>765</v>
      </c>
      <c r="F390" t="s">
        <v>798</v>
      </c>
      <c r="G390" s="14" t="s">
        <v>817</v>
      </c>
      <c r="I390" t="str">
        <f t="shared" si="6"/>
        <v>PL2_4228_461_TIT_0223A</v>
      </c>
      <c r="J390" t="s">
        <v>814</v>
      </c>
      <c r="K390" t="s">
        <v>631</v>
      </c>
      <c r="M390" t="s">
        <v>72</v>
      </c>
      <c r="N390" t="str">
        <f>_xlfn.CONCAT(A390, ",", B390, ",", I390, ",""", J390, """,""", K390, """,""", L390, """,""", M390, """")</f>
        <v>TAG,,PL2_4228_461_TIT_0223A,"BNR Blower No. 1 Core 2 Motor Temp","fbAnalog","","(Constant := false, ExternalAccess := Read/Write)"</v>
      </c>
    </row>
    <row r="391" spans="1:14" x14ac:dyDescent="0.25">
      <c r="A391" t="s">
        <v>35</v>
      </c>
      <c r="C391" t="s">
        <v>639</v>
      </c>
      <c r="D391" s="14" t="s">
        <v>753</v>
      </c>
      <c r="E391" s="14" t="s">
        <v>765</v>
      </c>
      <c r="F391" t="s">
        <v>798</v>
      </c>
      <c r="G391" s="14" t="s">
        <v>818</v>
      </c>
      <c r="I391" t="str">
        <f t="shared" si="6"/>
        <v>PL2_4228_461_TIT_0223B</v>
      </c>
      <c r="J391" t="s">
        <v>815</v>
      </c>
      <c r="K391" t="s">
        <v>631</v>
      </c>
      <c r="M391" t="s">
        <v>72</v>
      </c>
      <c r="N391" t="str">
        <f>_xlfn.CONCAT(A391, ",", B391, ",", I391, ",""", J391, """,""", K391, """,""", L391, """,""", M391, """")</f>
        <v>TAG,,PL2_4228_461_TIT_0223B,"BNR Blower No. 1 Core 2 Bearing Temp","fbAnalog","","(Constant := false, ExternalAccess := Read/Write)"</v>
      </c>
    </row>
    <row r="392" spans="1:14" x14ac:dyDescent="0.25">
      <c r="A392" t="s">
        <v>35</v>
      </c>
      <c r="C392" t="s">
        <v>639</v>
      </c>
      <c r="D392" s="14" t="s">
        <v>753</v>
      </c>
      <c r="E392" s="14" t="s">
        <v>765</v>
      </c>
      <c r="F392" t="s">
        <v>798</v>
      </c>
      <c r="G392" s="14" t="s">
        <v>799</v>
      </c>
      <c r="I392" t="str">
        <f t="shared" si="6"/>
        <v>PL2_4228_461_TIT_0224</v>
      </c>
      <c r="J392" t="s">
        <v>816</v>
      </c>
      <c r="K392" t="s">
        <v>631</v>
      </c>
      <c r="M392" t="s">
        <v>72</v>
      </c>
      <c r="N392" t="str">
        <f>_xlfn.CONCAT(A392, ",", B392, ",", I392, ",""", J392, """,""", K392, """,""", L392, """,""", M392, """")</f>
        <v>TAG,,PL2_4228_461_TIT_0224,"BNR Blower No. 1 Core 2 Discharge Temp","fbAnalog","","(Constant := false, ExternalAccess := Read/Write)"</v>
      </c>
    </row>
    <row r="393" spans="1:14" x14ac:dyDescent="0.25">
      <c r="A393" t="s">
        <v>35</v>
      </c>
      <c r="C393" t="s">
        <v>639</v>
      </c>
      <c r="D393" s="14" t="s">
        <v>753</v>
      </c>
      <c r="E393" s="14" t="s">
        <v>765</v>
      </c>
      <c r="F393" t="s">
        <v>798</v>
      </c>
      <c r="G393" s="14" t="s">
        <v>823</v>
      </c>
      <c r="I393" t="str">
        <f t="shared" si="6"/>
        <v>PL2_4228_461_TIT_0232</v>
      </c>
      <c r="J393" t="s">
        <v>1093</v>
      </c>
      <c r="K393" t="s">
        <v>631</v>
      </c>
      <c r="M393" t="s">
        <v>72</v>
      </c>
      <c r="N393" t="str">
        <f>_xlfn.CONCAT(A393, ",", B393, ",", I393, ",""", J393, """,""", K393, """,""", L393, """,""", M393, """")</f>
        <v>TAG,,PL2_4228_461_TIT_0232,"BNR Blower No. 2 Core 1 Inlet Temp","fbAnalog","","(Constant := false, ExternalAccess := Read/Write)"</v>
      </c>
    </row>
    <row r="394" spans="1:14" x14ac:dyDescent="0.25">
      <c r="A394" t="s">
        <v>35</v>
      </c>
      <c r="C394" t="s">
        <v>639</v>
      </c>
      <c r="D394" s="14" t="s">
        <v>753</v>
      </c>
      <c r="E394" s="14" t="s">
        <v>765</v>
      </c>
      <c r="F394" t="s">
        <v>798</v>
      </c>
      <c r="G394" s="14" t="s">
        <v>819</v>
      </c>
      <c r="I394" t="str">
        <f t="shared" si="6"/>
        <v>PL2_4228_461_TIT_0233A</v>
      </c>
      <c r="J394" t="s">
        <v>836</v>
      </c>
      <c r="K394" t="s">
        <v>631</v>
      </c>
      <c r="M394" t="s">
        <v>72</v>
      </c>
      <c r="N394" t="str">
        <f>_xlfn.CONCAT(A394, ",", B394, ",", I394, ",""", J394, """,""", K394, """,""", L394, """,""", M394, """")</f>
        <v>TAG,,PL2_4228_461_TIT_0233A,"BNR Blower No. 2 Core 1 Motor Temp","fbAnalog","","(Constant := false, ExternalAccess := Read/Write)"</v>
      </c>
    </row>
    <row r="395" spans="1:14" x14ac:dyDescent="0.25">
      <c r="A395" t="s">
        <v>35</v>
      </c>
      <c r="C395" t="s">
        <v>639</v>
      </c>
      <c r="D395" s="14" t="s">
        <v>753</v>
      </c>
      <c r="E395" s="14" t="s">
        <v>765</v>
      </c>
      <c r="F395" t="s">
        <v>798</v>
      </c>
      <c r="G395" s="14" t="s">
        <v>820</v>
      </c>
      <c r="I395" t="str">
        <f t="shared" si="6"/>
        <v>PL2_4228_461_TIT_0233B</v>
      </c>
      <c r="J395" t="s">
        <v>837</v>
      </c>
      <c r="K395" t="s">
        <v>631</v>
      </c>
      <c r="M395" t="s">
        <v>72</v>
      </c>
      <c r="N395" t="str">
        <f>_xlfn.CONCAT(A395, ",", B395, ",", I395, ",""", J395, """,""", K395, """,""", L395, """,""", M395, """")</f>
        <v>TAG,,PL2_4228_461_TIT_0233B,"BNR Blower No. 2 Core 1 Bearing Temp","fbAnalog","","(Constant := false, ExternalAccess := Read/Write)"</v>
      </c>
    </row>
    <row r="396" spans="1:14" x14ac:dyDescent="0.25">
      <c r="A396" t="s">
        <v>35</v>
      </c>
      <c r="C396" t="s">
        <v>639</v>
      </c>
      <c r="D396" s="14" t="s">
        <v>753</v>
      </c>
      <c r="E396" s="14" t="s">
        <v>765</v>
      </c>
      <c r="F396" t="s">
        <v>798</v>
      </c>
      <c r="G396" s="14" t="s">
        <v>824</v>
      </c>
      <c r="I396" t="str">
        <f t="shared" si="6"/>
        <v>PL2_4228_461_TIT_0234</v>
      </c>
      <c r="J396" t="s">
        <v>838</v>
      </c>
      <c r="K396" t="s">
        <v>631</v>
      </c>
      <c r="M396" t="s">
        <v>72</v>
      </c>
      <c r="N396" t="str">
        <f>_xlfn.CONCAT(A396, ",", B396, ",", I396, ",""", J396, """,""", K396, """,""", L396, """,""", M396, """")</f>
        <v>TAG,,PL2_4228_461_TIT_0234,"BNR Blower No. 2 Core 1 Discharge Temp","fbAnalog","","(Constant := false, ExternalAccess := Read/Write)"</v>
      </c>
    </row>
    <row r="397" spans="1:14" x14ac:dyDescent="0.25">
      <c r="A397" t="s">
        <v>35</v>
      </c>
      <c r="C397" t="s">
        <v>639</v>
      </c>
      <c r="D397" s="14" t="s">
        <v>753</v>
      </c>
      <c r="E397" s="14" t="s">
        <v>765</v>
      </c>
      <c r="F397" t="s">
        <v>798</v>
      </c>
      <c r="G397" s="14" t="s">
        <v>826</v>
      </c>
      <c r="I397" t="str">
        <f t="shared" si="6"/>
        <v>PL2_4228_461_TIT_0242</v>
      </c>
      <c r="J397" t="s">
        <v>1094</v>
      </c>
      <c r="K397" t="s">
        <v>631</v>
      </c>
      <c r="M397" t="s">
        <v>72</v>
      </c>
      <c r="N397" t="str">
        <f>_xlfn.CONCAT(A397, ",", B397, ",", I397, ",""", J397, """,""", K397, """,""", L397, """,""", M397, """")</f>
        <v>TAG,,PL2_4228_461_TIT_0242,"BNR Blower No. 2 Core 2 Inlet Temp","fbAnalog","","(Constant := false, ExternalAccess := Read/Write)"</v>
      </c>
    </row>
    <row r="398" spans="1:14" x14ac:dyDescent="0.25">
      <c r="A398" t="s">
        <v>35</v>
      </c>
      <c r="C398" t="s">
        <v>639</v>
      </c>
      <c r="D398" s="14" t="s">
        <v>753</v>
      </c>
      <c r="E398" s="14" t="s">
        <v>765</v>
      </c>
      <c r="F398" t="s">
        <v>798</v>
      </c>
      <c r="G398" s="14" t="s">
        <v>821</v>
      </c>
      <c r="I398" t="str">
        <f t="shared" si="6"/>
        <v>PL2_4228_461_TIT_0243A</v>
      </c>
      <c r="J398" t="s">
        <v>844</v>
      </c>
      <c r="K398" t="s">
        <v>631</v>
      </c>
      <c r="M398" t="s">
        <v>72</v>
      </c>
      <c r="N398" t="str">
        <f>_xlfn.CONCAT(A398, ",", B398, ",", I398, ",""", J398, """,""", K398, """,""", L398, """,""", M398, """")</f>
        <v>TAG,,PL2_4228_461_TIT_0243A,"BNR Blower No. 2 Core 2 Motor Temp","fbAnalog","","(Constant := false, ExternalAccess := Read/Write)"</v>
      </c>
    </row>
    <row r="399" spans="1:14" x14ac:dyDescent="0.25">
      <c r="A399" t="s">
        <v>35</v>
      </c>
      <c r="C399" t="s">
        <v>639</v>
      </c>
      <c r="D399" s="14" t="s">
        <v>753</v>
      </c>
      <c r="E399" s="14" t="s">
        <v>765</v>
      </c>
      <c r="F399" t="s">
        <v>798</v>
      </c>
      <c r="G399" s="14" t="s">
        <v>822</v>
      </c>
      <c r="I399" t="str">
        <f t="shared" si="6"/>
        <v>PL2_4228_461_TIT_0243B</v>
      </c>
      <c r="J399" t="s">
        <v>845</v>
      </c>
      <c r="K399" t="s">
        <v>631</v>
      </c>
      <c r="M399" t="s">
        <v>72</v>
      </c>
      <c r="N399" t="str">
        <f>_xlfn.CONCAT(A399, ",", B399, ",", I399, ",""", J399, """,""", K399, """,""", L399, """,""", M399, """")</f>
        <v>TAG,,PL2_4228_461_TIT_0243B,"BNR Blower No. 2 Core 2 Bearing Temp","fbAnalog","","(Constant := false, ExternalAccess := Read/Write)"</v>
      </c>
    </row>
    <row r="400" spans="1:14" x14ac:dyDescent="0.25">
      <c r="A400" t="s">
        <v>35</v>
      </c>
      <c r="C400" t="s">
        <v>639</v>
      </c>
      <c r="D400" s="14" t="s">
        <v>753</v>
      </c>
      <c r="E400" s="14" t="s">
        <v>765</v>
      </c>
      <c r="F400" t="s">
        <v>798</v>
      </c>
      <c r="G400" s="14" t="s">
        <v>827</v>
      </c>
      <c r="I400" t="str">
        <f t="shared" si="6"/>
        <v>PL2_4228_461_TIT_0244</v>
      </c>
      <c r="J400" t="s">
        <v>846</v>
      </c>
      <c r="K400" t="s">
        <v>631</v>
      </c>
      <c r="M400" t="s">
        <v>72</v>
      </c>
      <c r="N400" t="str">
        <f>_xlfn.CONCAT(A400, ",", B400, ",", I400, ",""", J400, """,""", K400, """,""", L400, """,""", M400, """")</f>
        <v>TAG,,PL2_4228_461_TIT_0244,"BNR Blower No. 2 Core 2 Discharge Temp","fbAnalog","","(Constant := false, ExternalAccess := Read/Write)"</v>
      </c>
    </row>
    <row r="401" spans="1:14" x14ac:dyDescent="0.25">
      <c r="A401" t="s">
        <v>35</v>
      </c>
      <c r="C401" t="s">
        <v>639</v>
      </c>
      <c r="D401" s="14" t="s">
        <v>753</v>
      </c>
      <c r="E401" s="14" t="s">
        <v>765</v>
      </c>
      <c r="F401" t="s">
        <v>798</v>
      </c>
      <c r="G401" s="14" t="s">
        <v>849</v>
      </c>
      <c r="I401" t="str">
        <f t="shared" si="6"/>
        <v>PL2_4228_461_TIT_0252</v>
      </c>
      <c r="J401" t="s">
        <v>1095</v>
      </c>
      <c r="K401" t="s">
        <v>631</v>
      </c>
      <c r="M401" t="s">
        <v>72</v>
      </c>
      <c r="N401" t="str">
        <f>_xlfn.CONCAT(A401, ",", B401, ",", I401, ",""", J401, """,""", K401, """,""", L401, """,""", M401, """")</f>
        <v>TAG,,PL2_4228_461_TIT_0252,"BNR Blower No. 3 Core 1 Inlet Temp","fbAnalog","","(Constant := false, ExternalAccess := Read/Write)"</v>
      </c>
    </row>
    <row r="402" spans="1:14" x14ac:dyDescent="0.25">
      <c r="A402" t="s">
        <v>35</v>
      </c>
      <c r="C402" t="s">
        <v>639</v>
      </c>
      <c r="D402" s="14" t="s">
        <v>753</v>
      </c>
      <c r="E402" s="14" t="s">
        <v>765</v>
      </c>
      <c r="F402" t="s">
        <v>798</v>
      </c>
      <c r="G402" s="14" t="s">
        <v>847</v>
      </c>
      <c r="I402" t="str">
        <f t="shared" si="6"/>
        <v>PL2_4228_461_TIT_0253A</v>
      </c>
      <c r="J402" t="s">
        <v>873</v>
      </c>
      <c r="K402" t="s">
        <v>631</v>
      </c>
      <c r="M402" t="s">
        <v>72</v>
      </c>
      <c r="N402" t="str">
        <f>_xlfn.CONCAT(A402, ",", B402, ",", I402, ",""", J402, """,""", K402, """,""", L402, """,""", M402, """")</f>
        <v>TAG,,PL2_4228_461_TIT_0253A,"BNR Blower No. 3 Core 1 Motor Temp","fbAnalog","","(Constant := false, ExternalAccess := Read/Write)"</v>
      </c>
    </row>
    <row r="403" spans="1:14" x14ac:dyDescent="0.25">
      <c r="A403" t="s">
        <v>35</v>
      </c>
      <c r="C403" t="s">
        <v>639</v>
      </c>
      <c r="D403" s="14" t="s">
        <v>753</v>
      </c>
      <c r="E403" s="14" t="s">
        <v>765</v>
      </c>
      <c r="F403" t="s">
        <v>798</v>
      </c>
      <c r="G403" s="14" t="s">
        <v>848</v>
      </c>
      <c r="I403" t="str">
        <f t="shared" si="6"/>
        <v>PL2_4228_461_TIT_0253B</v>
      </c>
      <c r="J403" t="s">
        <v>874</v>
      </c>
      <c r="K403" t="s">
        <v>631</v>
      </c>
      <c r="M403" t="s">
        <v>72</v>
      </c>
      <c r="N403" t="str">
        <f>_xlfn.CONCAT(A403, ",", B403, ",", I403, ",""", J403, """,""", K403, """,""", L403, """,""", M403, """")</f>
        <v>TAG,,PL2_4228_461_TIT_0253B,"BNR Blower No. 3 Core 1 Bearing Temp","fbAnalog","","(Constant := false, ExternalAccess := Read/Write)"</v>
      </c>
    </row>
    <row r="404" spans="1:14" x14ac:dyDescent="0.25">
      <c r="A404" t="s">
        <v>35</v>
      </c>
      <c r="C404" t="s">
        <v>639</v>
      </c>
      <c r="D404" s="14" t="s">
        <v>753</v>
      </c>
      <c r="E404" s="14" t="s">
        <v>765</v>
      </c>
      <c r="F404" t="s">
        <v>798</v>
      </c>
      <c r="G404" s="14" t="s">
        <v>850</v>
      </c>
      <c r="I404" t="str">
        <f t="shared" si="6"/>
        <v>PL2_4228_461_TIT_0254</v>
      </c>
      <c r="J404" t="s">
        <v>875</v>
      </c>
      <c r="K404" t="s">
        <v>631</v>
      </c>
      <c r="M404" t="s">
        <v>72</v>
      </c>
      <c r="N404" t="str">
        <f>_xlfn.CONCAT(A404, ",", B404, ",", I404, ",""", J404, """,""", K404, """,""", L404, """,""", M404, """")</f>
        <v>TAG,,PL2_4228_461_TIT_0254,"BNR Blower No. 3 Core 1 Discharge Temp","fbAnalog","","(Constant := false, ExternalAccess := Read/Write)"</v>
      </c>
    </row>
    <row r="405" spans="1:14" x14ac:dyDescent="0.25">
      <c r="A405" t="s">
        <v>35</v>
      </c>
      <c r="C405" t="s">
        <v>639</v>
      </c>
      <c r="D405" s="14" t="s">
        <v>753</v>
      </c>
      <c r="E405" s="14" t="s">
        <v>765</v>
      </c>
      <c r="F405" t="s">
        <v>798</v>
      </c>
      <c r="G405" s="14" t="s">
        <v>854</v>
      </c>
      <c r="I405" t="str">
        <f t="shared" si="6"/>
        <v>PL2_4228_461_TIT_0262</v>
      </c>
      <c r="J405" t="s">
        <v>1096</v>
      </c>
      <c r="K405" t="s">
        <v>631</v>
      </c>
      <c r="M405" t="s">
        <v>72</v>
      </c>
      <c r="N405" t="str">
        <f>_xlfn.CONCAT(A405, ",", B405, ",", I405, ",""", J405, """,""", K405, """,""", L405, """,""", M405, """")</f>
        <v>TAG,,PL2_4228_461_TIT_0262,"BNR Blower No. 3 Core 2 Inlet Temp","fbAnalog","","(Constant := false, ExternalAccess := Read/Write)"</v>
      </c>
    </row>
    <row r="406" spans="1:14" x14ac:dyDescent="0.25">
      <c r="A406" t="s">
        <v>35</v>
      </c>
      <c r="C406" t="s">
        <v>639</v>
      </c>
      <c r="D406" s="14" t="s">
        <v>753</v>
      </c>
      <c r="E406" s="14" t="s">
        <v>765</v>
      </c>
      <c r="F406" t="s">
        <v>798</v>
      </c>
      <c r="G406" s="14" t="s">
        <v>852</v>
      </c>
      <c r="I406" t="str">
        <f t="shared" si="6"/>
        <v>PL2_4228_461_TIT_0263A</v>
      </c>
      <c r="J406" t="s">
        <v>881</v>
      </c>
      <c r="K406" t="s">
        <v>631</v>
      </c>
      <c r="M406" t="s">
        <v>72</v>
      </c>
      <c r="N406" t="str">
        <f>_xlfn.CONCAT(A406, ",", B406, ",", I406, ",""", J406, """,""", K406, """,""", L406, """,""", M406, """")</f>
        <v>TAG,,PL2_4228_461_TIT_0263A,"BNR Blower No. 3 Core 2 Motor Temp","fbAnalog","","(Constant := false, ExternalAccess := Read/Write)"</v>
      </c>
    </row>
    <row r="407" spans="1:14" x14ac:dyDescent="0.25">
      <c r="A407" t="s">
        <v>35</v>
      </c>
      <c r="C407" t="s">
        <v>639</v>
      </c>
      <c r="D407" s="14" t="s">
        <v>753</v>
      </c>
      <c r="E407" s="14" t="s">
        <v>765</v>
      </c>
      <c r="F407" t="s">
        <v>798</v>
      </c>
      <c r="G407" s="14" t="s">
        <v>853</v>
      </c>
      <c r="I407" t="str">
        <f t="shared" si="6"/>
        <v>PL2_4228_461_TIT_0263B</v>
      </c>
      <c r="J407" t="s">
        <v>882</v>
      </c>
      <c r="K407" t="s">
        <v>631</v>
      </c>
      <c r="M407" t="s">
        <v>72</v>
      </c>
      <c r="N407" t="str">
        <f>_xlfn.CONCAT(A407, ",", B407, ",", I407, ",""", J407, """,""", K407, """,""", L407, """,""", M407, """")</f>
        <v>TAG,,PL2_4228_461_TIT_0263B,"BNR Blower No. 3 Core 2 Bearing Temp","fbAnalog","","(Constant := false, ExternalAccess := Read/Write)"</v>
      </c>
    </row>
    <row r="408" spans="1:14" x14ac:dyDescent="0.25">
      <c r="A408" t="s">
        <v>35</v>
      </c>
      <c r="C408" t="s">
        <v>639</v>
      </c>
      <c r="D408" s="14" t="s">
        <v>753</v>
      </c>
      <c r="E408" s="14" t="s">
        <v>765</v>
      </c>
      <c r="F408" t="s">
        <v>798</v>
      </c>
      <c r="G408" s="14" t="s">
        <v>855</v>
      </c>
      <c r="I408" t="str">
        <f t="shared" si="6"/>
        <v>PL2_4228_461_TIT_0264</v>
      </c>
      <c r="J408" t="s">
        <v>883</v>
      </c>
      <c r="K408" t="s">
        <v>631</v>
      </c>
      <c r="M408" t="s">
        <v>72</v>
      </c>
      <c r="N408" t="str">
        <f>_xlfn.CONCAT(A408, ",", B408, ",", I408, ",""", J408, """,""", K408, """,""", L408, """,""", M408, """")</f>
        <v>TAG,,PL2_4228_461_TIT_0264,"BNR Blower No. 3 Core 2 Discharge Temp","fbAnalog","","(Constant := false, ExternalAccess := Read/Write)"</v>
      </c>
    </row>
    <row r="409" spans="1:14" x14ac:dyDescent="0.25">
      <c r="A409" t="s">
        <v>35</v>
      </c>
      <c r="C409" t="s">
        <v>639</v>
      </c>
      <c r="D409" s="14" t="s">
        <v>753</v>
      </c>
      <c r="E409" s="14" t="s">
        <v>765</v>
      </c>
      <c r="F409" t="s">
        <v>798</v>
      </c>
      <c r="G409" s="14" t="s">
        <v>858</v>
      </c>
      <c r="I409" t="str">
        <f t="shared" si="6"/>
        <v>PL2_4228_461_TIT_0272</v>
      </c>
      <c r="J409" t="s">
        <v>1097</v>
      </c>
      <c r="K409" t="s">
        <v>631</v>
      </c>
      <c r="M409" t="s">
        <v>72</v>
      </c>
      <c r="N409" t="str">
        <f>_xlfn.CONCAT(A409, ",", B409, ",", I409, ",""", J409, """,""", K409, """,""", L409, """,""", M409, """")</f>
        <v>TAG,,PL2_4228_461_TIT_0272,"BNR Blower No. 4 Core 1 Inlet Temp","fbAnalog","","(Constant := false, ExternalAccess := Read/Write)"</v>
      </c>
    </row>
    <row r="410" spans="1:14" x14ac:dyDescent="0.25">
      <c r="A410" t="s">
        <v>35</v>
      </c>
      <c r="C410" t="s">
        <v>639</v>
      </c>
      <c r="D410" s="14" t="s">
        <v>753</v>
      </c>
      <c r="E410" s="14" t="s">
        <v>765</v>
      </c>
      <c r="F410" t="s">
        <v>798</v>
      </c>
      <c r="G410" s="14" t="s">
        <v>856</v>
      </c>
      <c r="I410" t="str">
        <f t="shared" si="6"/>
        <v>PL2_4228_461_TIT_0273A</v>
      </c>
      <c r="J410" t="s">
        <v>892</v>
      </c>
      <c r="K410" t="s">
        <v>631</v>
      </c>
      <c r="M410" t="s">
        <v>72</v>
      </c>
      <c r="N410" t="str">
        <f>_xlfn.CONCAT(A410, ",", B410, ",", I410, ",""", J410, """,""", K410, """,""", L410, """,""", M410, """")</f>
        <v>TAG,,PL2_4228_461_TIT_0273A,"BNR Blower No. 4 Core 1 Motor Temp","fbAnalog","","(Constant := false, ExternalAccess := Read/Write)"</v>
      </c>
    </row>
    <row r="411" spans="1:14" x14ac:dyDescent="0.25">
      <c r="A411" t="s">
        <v>35</v>
      </c>
      <c r="C411" t="s">
        <v>639</v>
      </c>
      <c r="D411" s="14" t="s">
        <v>753</v>
      </c>
      <c r="E411" s="14" t="s">
        <v>765</v>
      </c>
      <c r="F411" t="s">
        <v>798</v>
      </c>
      <c r="G411" s="14" t="s">
        <v>857</v>
      </c>
      <c r="I411" t="str">
        <f t="shared" si="6"/>
        <v>PL2_4228_461_TIT_0273B</v>
      </c>
      <c r="J411" t="s">
        <v>893</v>
      </c>
      <c r="K411" t="s">
        <v>631</v>
      </c>
      <c r="M411" t="s">
        <v>72</v>
      </c>
      <c r="N411" t="str">
        <f>_xlfn.CONCAT(A411, ",", B411, ",", I411, ",""", J411, """,""", K411, """,""", L411, """,""", M411, """")</f>
        <v>TAG,,PL2_4228_461_TIT_0273B,"BNR Blower No. 4 Core 1 Bearing Temp","fbAnalog","","(Constant := false, ExternalAccess := Read/Write)"</v>
      </c>
    </row>
    <row r="412" spans="1:14" x14ac:dyDescent="0.25">
      <c r="A412" t="s">
        <v>35</v>
      </c>
      <c r="C412" t="s">
        <v>639</v>
      </c>
      <c r="D412" s="14" t="s">
        <v>753</v>
      </c>
      <c r="E412" s="14" t="s">
        <v>765</v>
      </c>
      <c r="F412" t="s">
        <v>798</v>
      </c>
      <c r="G412" s="14" t="s">
        <v>859</v>
      </c>
      <c r="I412" t="str">
        <f t="shared" si="6"/>
        <v>PL2_4228_461_TIT_0274</v>
      </c>
      <c r="J412" t="s">
        <v>894</v>
      </c>
      <c r="K412" t="s">
        <v>631</v>
      </c>
      <c r="M412" t="s">
        <v>72</v>
      </c>
      <c r="N412" t="str">
        <f>_xlfn.CONCAT(A412, ",", B412, ",", I412, ",""", J412, """,""", K412, """,""", L412, """,""", M412, """")</f>
        <v>TAG,,PL2_4228_461_TIT_0274,"BNR Blower No. 4 Core 1 Discharge Temp","fbAnalog","","(Constant := false, ExternalAccess := Read/Write)"</v>
      </c>
    </row>
    <row r="413" spans="1:14" x14ac:dyDescent="0.25">
      <c r="A413" t="s">
        <v>35</v>
      </c>
      <c r="C413" t="s">
        <v>639</v>
      </c>
      <c r="D413" s="14" t="s">
        <v>753</v>
      </c>
      <c r="E413" s="14" t="s">
        <v>765</v>
      </c>
      <c r="F413" t="s">
        <v>798</v>
      </c>
      <c r="G413" s="14" t="s">
        <v>863</v>
      </c>
      <c r="I413" t="str">
        <f t="shared" si="6"/>
        <v>PL2_4228_461_TIT_0282</v>
      </c>
      <c r="J413" t="s">
        <v>1098</v>
      </c>
      <c r="K413" t="s">
        <v>631</v>
      </c>
      <c r="M413" t="s">
        <v>72</v>
      </c>
      <c r="N413" t="str">
        <f>_xlfn.CONCAT(A413, ",", B413, ",", I413, ",""", J413, """,""", K413, """,""", L413, """,""", M413, """")</f>
        <v>TAG,,PL2_4228_461_TIT_0282,"BNR Blower No. 4 Core 2 Inlet Temp","fbAnalog","","(Constant := false, ExternalAccess := Read/Write)"</v>
      </c>
    </row>
    <row r="414" spans="1:14" x14ac:dyDescent="0.25">
      <c r="A414" t="s">
        <v>35</v>
      </c>
      <c r="C414" t="s">
        <v>639</v>
      </c>
      <c r="D414" s="14" t="s">
        <v>753</v>
      </c>
      <c r="E414" s="14" t="s">
        <v>765</v>
      </c>
      <c r="F414" t="s">
        <v>798</v>
      </c>
      <c r="G414" s="14" t="s">
        <v>861</v>
      </c>
      <c r="I414" t="str">
        <f t="shared" si="6"/>
        <v>PL2_4228_461_TIT_0283A</v>
      </c>
      <c r="J414" t="s">
        <v>900</v>
      </c>
      <c r="K414" t="s">
        <v>631</v>
      </c>
      <c r="M414" t="s">
        <v>72</v>
      </c>
      <c r="N414" t="str">
        <f>_xlfn.CONCAT(A414, ",", B414, ",", I414, ",""", J414, """,""", K414, """,""", L414, """,""", M414, """")</f>
        <v>TAG,,PL2_4228_461_TIT_0283A,"BNR Blower No. 4 Core 2 Motor Temp","fbAnalog","","(Constant := false, ExternalAccess := Read/Write)"</v>
      </c>
    </row>
    <row r="415" spans="1:14" x14ac:dyDescent="0.25">
      <c r="A415" t="s">
        <v>35</v>
      </c>
      <c r="C415" t="s">
        <v>639</v>
      </c>
      <c r="D415" s="14" t="s">
        <v>753</v>
      </c>
      <c r="E415" s="14" t="s">
        <v>765</v>
      </c>
      <c r="F415" t="s">
        <v>798</v>
      </c>
      <c r="G415" s="14" t="s">
        <v>862</v>
      </c>
      <c r="I415" t="str">
        <f t="shared" si="6"/>
        <v>PL2_4228_461_TIT_0283B</v>
      </c>
      <c r="J415" t="s">
        <v>901</v>
      </c>
      <c r="K415" t="s">
        <v>631</v>
      </c>
      <c r="M415" t="s">
        <v>72</v>
      </c>
      <c r="N415" t="str">
        <f>_xlfn.CONCAT(A415, ",", B415, ",", I415, ",""", J415, """,""", K415, """,""", L415, """,""", M415, """")</f>
        <v>TAG,,PL2_4228_461_TIT_0283B,"BNR Blower No. 4 Core 2 Bearing Temp","fbAnalog","","(Constant := false, ExternalAccess := Read/Write)"</v>
      </c>
    </row>
    <row r="416" spans="1:14" x14ac:dyDescent="0.25">
      <c r="A416" t="s">
        <v>35</v>
      </c>
      <c r="C416" t="s">
        <v>639</v>
      </c>
      <c r="D416" s="14" t="s">
        <v>753</v>
      </c>
      <c r="E416" s="14" t="s">
        <v>765</v>
      </c>
      <c r="F416" t="s">
        <v>798</v>
      </c>
      <c r="G416" s="14" t="s">
        <v>864</v>
      </c>
      <c r="I416" t="str">
        <f t="shared" si="6"/>
        <v>PL2_4228_461_TIT_0284</v>
      </c>
      <c r="J416" t="s">
        <v>902</v>
      </c>
      <c r="K416" t="s">
        <v>631</v>
      </c>
      <c r="M416" t="s">
        <v>72</v>
      </c>
      <c r="N416" t="str">
        <f>_xlfn.CONCAT(A416, ",", B416, ",", I416, ",""", J416, """,""", K416, """,""", L416, """,""", M416, """")</f>
        <v>TAG,,PL2_4228_461_TIT_0284,"BNR Blower No. 4 Core 2 Discharge Temp","fbAnalog","","(Constant := false, ExternalAccess := Read/Write)"</v>
      </c>
    </row>
    <row r="417" spans="1:14" x14ac:dyDescent="0.25">
      <c r="A417" t="s">
        <v>35</v>
      </c>
      <c r="C417" t="s">
        <v>639</v>
      </c>
      <c r="D417" s="14" t="s">
        <v>753</v>
      </c>
      <c r="E417" s="14" t="s">
        <v>765</v>
      </c>
      <c r="F417" t="s">
        <v>762</v>
      </c>
      <c r="G417" s="14" t="s">
        <v>766</v>
      </c>
      <c r="I417" t="str">
        <f t="shared" si="6"/>
        <v>PL2_4228_461_TT_0201</v>
      </c>
      <c r="J417" t="s">
        <v>767</v>
      </c>
      <c r="K417" t="s">
        <v>631</v>
      </c>
      <c r="M417" t="s">
        <v>72</v>
      </c>
      <c r="N417" t="str">
        <f>_xlfn.CONCAT(A417, ",", B417, ",", I417, ",""", J417, """,""", K417, """,""", L417, """,""", M417, """")</f>
        <v>TAG,,PL2_4228_461_TT_0201,"BNR Blower Electrical Room Temp","fbAnalog","","(Constant := false, ExternalAccess := Read/Write)"</v>
      </c>
    </row>
    <row r="418" spans="1:14" x14ac:dyDescent="0.25">
      <c r="A418" t="s">
        <v>35</v>
      </c>
      <c r="C418" t="s">
        <v>639</v>
      </c>
      <c r="D418" s="14">
        <v>4228</v>
      </c>
      <c r="E418" s="14">
        <v>498</v>
      </c>
      <c r="F418" t="s">
        <v>641</v>
      </c>
      <c r="G418" s="14" t="s">
        <v>1382</v>
      </c>
      <c r="I418" t="str">
        <f t="shared" si="6"/>
        <v>PL2_4228_498_FIT_0001</v>
      </c>
      <c r="J418" t="s">
        <v>1385</v>
      </c>
      <c r="K418" t="s">
        <v>631</v>
      </c>
      <c r="M418" t="s">
        <v>72</v>
      </c>
      <c r="N418" t="str">
        <f>_xlfn.CONCAT(A418, ",", B418, ",", I418, ",""", J418, """,""", K418, """,""", L418, """,""", M418, """")</f>
        <v>TAG,,PL2_4228_498_FIT_0001,"BNR Blowers Discharge Header Flow","fbAnalog","","(Constant := false, ExternalAccess := Read/Write)"</v>
      </c>
    </row>
    <row r="419" spans="1:14" x14ac:dyDescent="0.25">
      <c r="A419" t="s">
        <v>35</v>
      </c>
      <c r="C419" t="s">
        <v>639</v>
      </c>
      <c r="D419" s="14">
        <v>4228</v>
      </c>
      <c r="E419" s="14">
        <v>498</v>
      </c>
      <c r="F419" t="s">
        <v>1384</v>
      </c>
      <c r="G419" s="14" t="s">
        <v>1383</v>
      </c>
      <c r="I419" t="str">
        <f t="shared" si="6"/>
        <v>PL2_4228_498_PIT_0002</v>
      </c>
      <c r="J419" t="s">
        <v>1386</v>
      </c>
      <c r="K419" t="s">
        <v>631</v>
      </c>
      <c r="M419" t="s">
        <v>72</v>
      </c>
      <c r="N419" t="str">
        <f>_xlfn.CONCAT(A419, ",", B419, ",", I419, ",""", J419, """,""", K419, """,""", L419, """,""", M419, """")</f>
        <v>TAG,,PL2_4228_498_PIT_0002,"BNR Blowers Discharge Header Pressure","fbAnalog","","(Constant := false, ExternalAccess := Read/Write)"</v>
      </c>
    </row>
    <row r="420" spans="1:14" x14ac:dyDescent="0.25">
      <c r="A420" t="s">
        <v>35</v>
      </c>
      <c r="C420" t="s">
        <v>639</v>
      </c>
      <c r="D420" s="14" t="s">
        <v>753</v>
      </c>
      <c r="E420" s="14" t="s">
        <v>640</v>
      </c>
      <c r="F420" t="s">
        <v>757</v>
      </c>
      <c r="G420" s="14" t="s">
        <v>758</v>
      </c>
      <c r="I420" t="str">
        <f t="shared" si="6"/>
        <v>PL2_4228_XXX_JS_0803</v>
      </c>
      <c r="J420" t="s">
        <v>760</v>
      </c>
      <c r="K420" t="s">
        <v>632</v>
      </c>
      <c r="M420" t="s">
        <v>72</v>
      </c>
      <c r="N420" t="str">
        <f>_xlfn.CONCAT(A420, ",", B420, ",", I420, ",""", J420, """,""", K420, """,""", L420, """,""", M420, """")</f>
        <v>TAG,,PL2_4228_XXX_JS_0803,"PLC-BNR 24VDC Fail","fbDigital","","(Constant := false, ExternalAccess := Read/Write)"</v>
      </c>
    </row>
    <row r="421" spans="1:14" x14ac:dyDescent="0.25">
      <c r="A421" t="s">
        <v>35</v>
      </c>
      <c r="C421" t="s">
        <v>639</v>
      </c>
      <c r="D421" s="14" t="s">
        <v>753</v>
      </c>
      <c r="E421" s="14" t="s">
        <v>640</v>
      </c>
      <c r="F421" t="s">
        <v>757</v>
      </c>
      <c r="G421" s="14" t="s">
        <v>759</v>
      </c>
      <c r="I421" t="str">
        <f t="shared" si="6"/>
        <v>PL2_4228_XXX_JS_0804</v>
      </c>
      <c r="J421" t="s">
        <v>761</v>
      </c>
      <c r="K421" t="s">
        <v>632</v>
      </c>
      <c r="M421" t="s">
        <v>72</v>
      </c>
      <c r="N421" t="str">
        <f>_xlfn.CONCAT(A421, ",", B421, ",", I421, ",""", J421, """,""", K421, """,""", L421, """,""", M421, """")</f>
        <v>TAG,,PL2_4228_XXX_JS_0804,"PLC-BNR 120VAC Fail","fbDigital","","(Constant := false, ExternalAccess := Read/Write)"</v>
      </c>
    </row>
    <row r="422" spans="1:14" x14ac:dyDescent="0.25">
      <c r="A422" t="s">
        <v>35</v>
      </c>
      <c r="C422" t="s">
        <v>639</v>
      </c>
      <c r="D422" s="14" t="s">
        <v>753</v>
      </c>
      <c r="E422" s="14" t="s">
        <v>640</v>
      </c>
      <c r="F422" t="s">
        <v>762</v>
      </c>
      <c r="G422" s="14" t="s">
        <v>763</v>
      </c>
      <c r="I422" t="str">
        <f t="shared" si="6"/>
        <v>PL2_4228_XXX_TT_0802</v>
      </c>
      <c r="J422" t="s">
        <v>764</v>
      </c>
      <c r="K422" t="s">
        <v>631</v>
      </c>
      <c r="M422" t="s">
        <v>72</v>
      </c>
      <c r="N422" t="str">
        <f>_xlfn.CONCAT(A422, ",", B422, ",", I422, ",""", J422, """,""", K422, """,""", L422, """,""", M422, """")</f>
        <v>TAG,,PL2_4228_XXX_TT_0802,"PLC-BNR Cabinet Temperature","fbAnalog","","(Constant := false, ExternalAccess := Read/Write)"</v>
      </c>
    </row>
    <row r="423" spans="1:14" x14ac:dyDescent="0.25">
      <c r="A423" t="s">
        <v>35</v>
      </c>
      <c r="C423" t="s">
        <v>639</v>
      </c>
      <c r="D423" s="14" t="s">
        <v>753</v>
      </c>
      <c r="E423" s="14" t="s">
        <v>640</v>
      </c>
      <c r="F423" t="s">
        <v>754</v>
      </c>
      <c r="G423" s="14" t="s">
        <v>755</v>
      </c>
      <c r="I423" t="str">
        <f t="shared" si="6"/>
        <v>PL2_4228_XXX_ZS_0801</v>
      </c>
      <c r="J423" t="s">
        <v>756</v>
      </c>
      <c r="K423" t="s">
        <v>632</v>
      </c>
      <c r="M423" t="s">
        <v>72</v>
      </c>
      <c r="N423" t="str">
        <f>_xlfn.CONCAT(A423, ",", B423, ",", I423, ",""", J423, """,""", K423, """,""", L423, """,""", M423, """")</f>
        <v>TAG,,PL2_4228_XXX_ZS_0801,"PLC-BNR Cabinet Intrusion","fbDigital","","(Constant := false, ExternalAccess := Read/Write)"</v>
      </c>
    </row>
    <row r="424" spans="1:14" x14ac:dyDescent="0.25">
      <c r="A424" t="s">
        <v>35</v>
      </c>
      <c r="C424" t="s">
        <v>639</v>
      </c>
      <c r="D424" s="14" t="s">
        <v>753</v>
      </c>
      <c r="E424" s="14" t="s">
        <v>1753</v>
      </c>
      <c r="F424" t="s">
        <v>912</v>
      </c>
      <c r="G424" s="14" t="s">
        <v>1754</v>
      </c>
      <c r="H424" t="s">
        <v>1773</v>
      </c>
      <c r="I424" t="str">
        <f t="shared" si="6"/>
        <v>PL2_4228_429_UPS_0110_YAN</v>
      </c>
      <c r="J424" t="s">
        <v>1770</v>
      </c>
      <c r="K424" t="s">
        <v>632</v>
      </c>
      <c r="M424" t="s">
        <v>72</v>
      </c>
      <c r="N424" t="str">
        <f>_xlfn.CONCAT(A424, ",", B424, ",", I424, ",""", J424, """,""", K424, """,""", L424, """,""", M424, """")</f>
        <v>TAG,,PL2_4228_429_UPS_0110_YAN,"PLC-BNR UPS Service Required","fbDigital","","(Constant := false, ExternalAccess := Read/Write)"</v>
      </c>
    </row>
    <row r="425" spans="1:14" x14ac:dyDescent="0.25">
      <c r="A425" t="s">
        <v>35</v>
      </c>
      <c r="C425" t="s">
        <v>639</v>
      </c>
      <c r="D425" s="14" t="s">
        <v>753</v>
      </c>
      <c r="E425" s="14" t="s">
        <v>1753</v>
      </c>
      <c r="F425" t="s">
        <v>912</v>
      </c>
      <c r="G425" s="14" t="s">
        <v>1754</v>
      </c>
      <c r="H425" t="s">
        <v>917</v>
      </c>
      <c r="I425" t="str">
        <f t="shared" si="6"/>
        <v>PL2_4228_429_UPS_0110_JSB</v>
      </c>
      <c r="J425" t="s">
        <v>1771</v>
      </c>
      <c r="K425" t="s">
        <v>632</v>
      </c>
      <c r="M425" t="s">
        <v>72</v>
      </c>
      <c r="N425" t="str">
        <f>_xlfn.CONCAT(A425, ",", B425, ",", I425, ",""", J425, """,""", K425, """,""", L425, """,""", M425, """")</f>
        <v>TAG,,PL2_4228_429_UPS_0110_JSB,"PLC-BNR UPS In Battery Mode","fbDigital","","(Constant := false, ExternalAccess := Read/Write)"</v>
      </c>
    </row>
    <row r="426" spans="1:14" x14ac:dyDescent="0.25">
      <c r="A426" t="s">
        <v>35</v>
      </c>
      <c r="C426" t="s">
        <v>639</v>
      </c>
      <c r="D426" s="14" t="s">
        <v>753</v>
      </c>
      <c r="E426" s="14" t="s">
        <v>1753</v>
      </c>
      <c r="F426" t="s">
        <v>912</v>
      </c>
      <c r="G426" s="14" t="s">
        <v>1754</v>
      </c>
      <c r="H426" t="s">
        <v>790</v>
      </c>
      <c r="I426" t="str">
        <f t="shared" si="6"/>
        <v>PL2_4228_429_UPS_0110_YAF</v>
      </c>
      <c r="J426" t="s">
        <v>1772</v>
      </c>
      <c r="K426" t="s">
        <v>632</v>
      </c>
      <c r="M426" t="s">
        <v>72</v>
      </c>
      <c r="N426" t="str">
        <f>_xlfn.CONCAT(A426, ",", B426, ",", I426, ",""", J426, """,""", K426, """,""", L426, """,""", M426, """")</f>
        <v>TAG,,PL2_4228_429_UPS_0110_YAF,"PLC-BNR UPS General Alarm","fbDigital","","(Constant := false, ExternalAccess := Read/Write)"</v>
      </c>
    </row>
  </sheetData>
  <phoneticPr fontId="2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DCD36-8652-409C-917C-D38785D01DD2}">
  <sheetPr codeName="Sheet6"/>
  <dimension ref="A1:K6"/>
  <sheetViews>
    <sheetView workbookViewId="0">
      <pane ySplit="1" topLeftCell="A2" activePane="bottomLeft" state="frozen"/>
      <selection pane="bottomLeft" activeCell="K2" sqref="K2"/>
    </sheetView>
  </sheetViews>
  <sheetFormatPr defaultRowHeight="15" x14ac:dyDescent="0.25"/>
  <cols>
    <col min="1" max="1" width="16.7109375" bestFit="1" customWidth="1"/>
    <col min="2" max="2" width="2" customWidth="1"/>
    <col min="5" max="5" width="28.28515625" customWidth="1"/>
    <col min="6" max="6" width="37.7109375" bestFit="1" customWidth="1"/>
    <col min="7" max="7" width="21.85546875" bestFit="1" customWidth="1"/>
    <col min="8" max="8" width="9.5703125" bestFit="1" customWidth="1"/>
    <col min="9" max="9" width="45" bestFit="1" customWidth="1"/>
    <col min="10" max="10" width="2.5703125" customWidth="1"/>
    <col min="11" max="11" width="12.42578125" customWidth="1"/>
  </cols>
  <sheetData>
    <row r="1" spans="1:11" x14ac:dyDescent="0.25">
      <c r="A1" s="3" t="s">
        <v>25</v>
      </c>
      <c r="C1" s="3" t="s">
        <v>28</v>
      </c>
      <c r="D1" s="3" t="s">
        <v>29</v>
      </c>
      <c r="E1" s="3" t="s">
        <v>30</v>
      </c>
      <c r="F1" s="3" t="s">
        <v>31</v>
      </c>
      <c r="G1" s="3" t="s">
        <v>32</v>
      </c>
      <c r="H1" s="3" t="s">
        <v>33</v>
      </c>
      <c r="I1" s="3" t="s">
        <v>34</v>
      </c>
      <c r="K1" s="3" t="s">
        <v>27</v>
      </c>
    </row>
    <row r="2" spans="1:11" x14ac:dyDescent="0.25">
      <c r="A2" t="s">
        <v>24</v>
      </c>
      <c r="C2" t="s">
        <v>35</v>
      </c>
      <c r="E2" t="s">
        <v>118</v>
      </c>
      <c r="F2" t="s">
        <v>36</v>
      </c>
      <c r="G2" t="s">
        <v>37</v>
      </c>
      <c r="I2" t="s">
        <v>72</v>
      </c>
      <c r="K2" t="s">
        <v>119</v>
      </c>
    </row>
    <row r="3" spans="1:11" x14ac:dyDescent="0.25">
      <c r="A3" t="s">
        <v>26</v>
      </c>
      <c r="C3" t="s">
        <v>35</v>
      </c>
      <c r="E3" t="s">
        <v>120</v>
      </c>
      <c r="F3" t="s">
        <v>38</v>
      </c>
      <c r="G3" t="s">
        <v>39</v>
      </c>
      <c r="I3" t="s">
        <v>72</v>
      </c>
      <c r="K3" t="s">
        <v>121</v>
      </c>
    </row>
    <row r="4" spans="1:11" x14ac:dyDescent="0.25">
      <c r="A4" t="s">
        <v>26</v>
      </c>
      <c r="C4" t="s">
        <v>35</v>
      </c>
      <c r="E4" t="s">
        <v>122</v>
      </c>
      <c r="F4" t="s">
        <v>40</v>
      </c>
      <c r="G4" t="s">
        <v>41</v>
      </c>
      <c r="I4" t="s">
        <v>72</v>
      </c>
      <c r="K4" t="s">
        <v>123</v>
      </c>
    </row>
    <row r="5" spans="1:11" x14ac:dyDescent="0.25">
      <c r="A5" t="s">
        <v>68</v>
      </c>
      <c r="C5" t="s">
        <v>35</v>
      </c>
      <c r="E5" t="s">
        <v>124</v>
      </c>
      <c r="F5" t="s">
        <v>69</v>
      </c>
      <c r="G5" t="s">
        <v>70</v>
      </c>
      <c r="I5" t="s">
        <v>72</v>
      </c>
      <c r="K5" t="s">
        <v>125</v>
      </c>
    </row>
    <row r="6" spans="1:11" x14ac:dyDescent="0.25">
      <c r="A6" t="s">
        <v>68</v>
      </c>
      <c r="C6" t="s">
        <v>35</v>
      </c>
      <c r="E6" t="s">
        <v>126</v>
      </c>
      <c r="F6" t="s">
        <v>71</v>
      </c>
      <c r="G6" t="s">
        <v>55</v>
      </c>
      <c r="I6" t="s">
        <v>72</v>
      </c>
      <c r="K6" t="s">
        <v>127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A363E-11AB-4A8C-B5A6-768B613B265F}">
  <sheetPr codeName="Sheet1"/>
  <dimension ref="A1:K20"/>
  <sheetViews>
    <sheetView workbookViewId="0">
      <pane ySplit="1" topLeftCell="A2" activePane="bottomLeft" state="frozen"/>
      <selection pane="bottomLeft" activeCell="F24" sqref="F24"/>
    </sheetView>
  </sheetViews>
  <sheetFormatPr defaultRowHeight="15" x14ac:dyDescent="0.25"/>
  <cols>
    <col min="1" max="1" width="14.7109375" customWidth="1"/>
    <col min="2" max="2" width="2.28515625" customWidth="1"/>
    <col min="5" max="5" width="25.7109375" bestFit="1" customWidth="1"/>
    <col min="6" max="6" width="27.140625" bestFit="1" customWidth="1"/>
    <col min="9" max="9" width="11.5703125" bestFit="1" customWidth="1"/>
    <col min="10" max="10" width="1.28515625" customWidth="1"/>
  </cols>
  <sheetData>
    <row r="1" spans="1:11" x14ac:dyDescent="0.25">
      <c r="A1" s="3" t="s">
        <v>25</v>
      </c>
      <c r="C1" s="3" t="s">
        <v>28</v>
      </c>
      <c r="D1" s="3" t="s">
        <v>29</v>
      </c>
      <c r="E1" s="3" t="s">
        <v>30</v>
      </c>
      <c r="F1" s="3" t="s">
        <v>31</v>
      </c>
      <c r="G1" s="3" t="s">
        <v>32</v>
      </c>
      <c r="H1" s="3" t="s">
        <v>33</v>
      </c>
      <c r="I1" s="3" t="s">
        <v>34</v>
      </c>
      <c r="K1" s="3" t="s">
        <v>27</v>
      </c>
    </row>
    <row r="2" spans="1:11" x14ac:dyDescent="0.25">
      <c r="A2" t="s">
        <v>42</v>
      </c>
      <c r="C2" t="s">
        <v>35</v>
      </c>
      <c r="E2" t="s">
        <v>128</v>
      </c>
      <c r="F2" t="s">
        <v>43</v>
      </c>
      <c r="G2" t="s">
        <v>44</v>
      </c>
      <c r="I2" t="s">
        <v>73</v>
      </c>
      <c r="K2" t="s">
        <v>132</v>
      </c>
    </row>
    <row r="3" spans="1:11" x14ac:dyDescent="0.25">
      <c r="A3" t="s">
        <v>42</v>
      </c>
      <c r="C3" t="s">
        <v>35</v>
      </c>
      <c r="E3" t="s">
        <v>129</v>
      </c>
      <c r="F3" t="s">
        <v>45</v>
      </c>
      <c r="G3" t="s">
        <v>44</v>
      </c>
      <c r="I3" t="s">
        <v>73</v>
      </c>
      <c r="K3" t="s">
        <v>133</v>
      </c>
    </row>
    <row r="4" spans="1:11" x14ac:dyDescent="0.25">
      <c r="A4" t="s">
        <v>42</v>
      </c>
      <c r="C4" t="s">
        <v>35</v>
      </c>
      <c r="E4" t="s">
        <v>130</v>
      </c>
      <c r="F4" t="s">
        <v>46</v>
      </c>
      <c r="G4" t="s">
        <v>44</v>
      </c>
      <c r="I4" t="s">
        <v>73</v>
      </c>
      <c r="K4" t="s">
        <v>135</v>
      </c>
    </row>
    <row r="5" spans="1:11" x14ac:dyDescent="0.25">
      <c r="A5" t="s">
        <v>42</v>
      </c>
      <c r="C5" t="s">
        <v>35</v>
      </c>
      <c r="E5" t="s">
        <v>131</v>
      </c>
      <c r="F5" t="s">
        <v>47</v>
      </c>
      <c r="G5" t="s">
        <v>48</v>
      </c>
      <c r="I5" t="s">
        <v>72</v>
      </c>
      <c r="K5" t="s">
        <v>136</v>
      </c>
    </row>
    <row r="6" spans="1:11" x14ac:dyDescent="0.25">
      <c r="A6" t="s">
        <v>42</v>
      </c>
      <c r="C6" t="s">
        <v>35</v>
      </c>
      <c r="E6" t="s">
        <v>134</v>
      </c>
      <c r="F6" t="s">
        <v>50</v>
      </c>
      <c r="G6" t="s">
        <v>49</v>
      </c>
      <c r="I6" t="s">
        <v>72</v>
      </c>
      <c r="K6" t="s">
        <v>138</v>
      </c>
    </row>
    <row r="7" spans="1:11" x14ac:dyDescent="0.25">
      <c r="A7" t="s">
        <v>42</v>
      </c>
      <c r="C7" t="s">
        <v>35</v>
      </c>
      <c r="E7" t="s">
        <v>137</v>
      </c>
      <c r="F7" t="s">
        <v>51</v>
      </c>
      <c r="G7" t="s">
        <v>49</v>
      </c>
      <c r="I7" t="s">
        <v>72</v>
      </c>
      <c r="K7" t="s">
        <v>139</v>
      </c>
    </row>
    <row r="8" spans="1:11" x14ac:dyDescent="0.25">
      <c r="A8" t="s">
        <v>42</v>
      </c>
      <c r="C8" t="s">
        <v>35</v>
      </c>
      <c r="E8" t="s">
        <v>140</v>
      </c>
      <c r="F8" t="s">
        <v>52</v>
      </c>
      <c r="G8" t="s">
        <v>49</v>
      </c>
      <c r="I8" t="s">
        <v>72</v>
      </c>
      <c r="K8" t="s">
        <v>141</v>
      </c>
    </row>
    <row r="9" spans="1:11" x14ac:dyDescent="0.25">
      <c r="A9" t="s">
        <v>42</v>
      </c>
      <c r="C9" t="s">
        <v>35</v>
      </c>
      <c r="E9" t="s">
        <v>143</v>
      </c>
      <c r="F9" t="s">
        <v>53</v>
      </c>
      <c r="G9" t="s">
        <v>49</v>
      </c>
      <c r="I9" t="s">
        <v>72</v>
      </c>
      <c r="K9" t="s">
        <v>142</v>
      </c>
    </row>
    <row r="10" spans="1:11" x14ac:dyDescent="0.25">
      <c r="A10" t="s">
        <v>42</v>
      </c>
      <c r="C10" t="s">
        <v>35</v>
      </c>
      <c r="E10" t="s">
        <v>146</v>
      </c>
      <c r="F10" t="s">
        <v>77</v>
      </c>
      <c r="G10" t="s">
        <v>49</v>
      </c>
      <c r="I10" t="s">
        <v>72</v>
      </c>
      <c r="K10" t="s">
        <v>144</v>
      </c>
    </row>
    <row r="11" spans="1:11" x14ac:dyDescent="0.25">
      <c r="A11" t="s">
        <v>42</v>
      </c>
      <c r="C11" t="s">
        <v>35</v>
      </c>
      <c r="E11" t="s">
        <v>149</v>
      </c>
      <c r="F11" t="s">
        <v>78</v>
      </c>
      <c r="G11" t="s">
        <v>49</v>
      </c>
      <c r="I11" t="s">
        <v>72</v>
      </c>
      <c r="K11" t="s">
        <v>145</v>
      </c>
    </row>
    <row r="12" spans="1:11" x14ac:dyDescent="0.25">
      <c r="A12" t="s">
        <v>42</v>
      </c>
      <c r="C12" t="s">
        <v>35</v>
      </c>
      <c r="E12" t="s">
        <v>152</v>
      </c>
      <c r="F12" t="s">
        <v>79</v>
      </c>
      <c r="G12" t="s">
        <v>49</v>
      </c>
      <c r="I12" t="s">
        <v>72</v>
      </c>
      <c r="K12" t="s">
        <v>147</v>
      </c>
    </row>
    <row r="13" spans="1:11" x14ac:dyDescent="0.25">
      <c r="A13" t="s">
        <v>42</v>
      </c>
      <c r="C13" t="s">
        <v>35</v>
      </c>
      <c r="E13" t="s">
        <v>155</v>
      </c>
      <c r="F13" t="s">
        <v>156</v>
      </c>
      <c r="G13" t="s">
        <v>49</v>
      </c>
      <c r="I13" t="s">
        <v>72</v>
      </c>
      <c r="K13" t="s">
        <v>148</v>
      </c>
    </row>
    <row r="14" spans="1:11" x14ac:dyDescent="0.25">
      <c r="A14" t="s">
        <v>42</v>
      </c>
      <c r="C14" t="s">
        <v>35</v>
      </c>
      <c r="E14" t="s">
        <v>159</v>
      </c>
      <c r="F14" t="s">
        <v>160</v>
      </c>
      <c r="G14" t="s">
        <v>49</v>
      </c>
      <c r="I14" t="s">
        <v>72</v>
      </c>
      <c r="K14" t="s">
        <v>150</v>
      </c>
    </row>
    <row r="15" spans="1:11" x14ac:dyDescent="0.25">
      <c r="A15" t="s">
        <v>42</v>
      </c>
      <c r="C15" t="s">
        <v>35</v>
      </c>
      <c r="E15" t="s">
        <v>162</v>
      </c>
      <c r="F15" t="s">
        <v>163</v>
      </c>
      <c r="G15" t="s">
        <v>49</v>
      </c>
      <c r="I15" t="s">
        <v>72</v>
      </c>
      <c r="K15" t="s">
        <v>151</v>
      </c>
    </row>
    <row r="16" spans="1:11" x14ac:dyDescent="0.25">
      <c r="A16" t="s">
        <v>42</v>
      </c>
      <c r="C16" t="s">
        <v>35</v>
      </c>
      <c r="E16" t="s">
        <v>164</v>
      </c>
      <c r="F16" t="s">
        <v>165</v>
      </c>
      <c r="G16" t="s">
        <v>49</v>
      </c>
      <c r="I16" t="s">
        <v>72</v>
      </c>
      <c r="K16" t="s">
        <v>153</v>
      </c>
    </row>
    <row r="17" spans="1:11" x14ac:dyDescent="0.25">
      <c r="A17" t="s">
        <v>42</v>
      </c>
      <c r="C17" t="s">
        <v>35</v>
      </c>
      <c r="E17" t="s">
        <v>166</v>
      </c>
      <c r="F17" t="s">
        <v>167</v>
      </c>
      <c r="G17" t="s">
        <v>49</v>
      </c>
      <c r="I17" t="s">
        <v>72</v>
      </c>
      <c r="K17" t="s">
        <v>154</v>
      </c>
    </row>
    <row r="18" spans="1:11" x14ac:dyDescent="0.25">
      <c r="A18" t="s">
        <v>42</v>
      </c>
      <c r="C18" t="s">
        <v>35</v>
      </c>
      <c r="E18" t="s">
        <v>168</v>
      </c>
      <c r="F18" t="s">
        <v>169</v>
      </c>
      <c r="G18" t="s">
        <v>49</v>
      </c>
      <c r="I18" t="s">
        <v>72</v>
      </c>
      <c r="K18" t="s">
        <v>157</v>
      </c>
    </row>
    <row r="19" spans="1:11" x14ac:dyDescent="0.25">
      <c r="A19" t="s">
        <v>42</v>
      </c>
      <c r="C19" t="s">
        <v>35</v>
      </c>
      <c r="E19" t="s">
        <v>170</v>
      </c>
      <c r="F19" t="s">
        <v>171</v>
      </c>
      <c r="G19" t="s">
        <v>49</v>
      </c>
      <c r="I19" t="s">
        <v>72</v>
      </c>
      <c r="K19" t="s">
        <v>158</v>
      </c>
    </row>
    <row r="20" spans="1:11" x14ac:dyDescent="0.25">
      <c r="A20" t="s">
        <v>42</v>
      </c>
      <c r="C20" t="s">
        <v>35</v>
      </c>
      <c r="E20" t="s">
        <v>172</v>
      </c>
      <c r="F20" t="s">
        <v>173</v>
      </c>
      <c r="G20" t="s">
        <v>49</v>
      </c>
      <c r="I20" t="s">
        <v>72</v>
      </c>
      <c r="K20" t="s">
        <v>161</v>
      </c>
    </row>
  </sheetData>
  <phoneticPr fontId="2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BA9E12-558C-4816-8BCE-BBFDA594C203}">
  <sheetPr codeName="Sheet2"/>
  <dimension ref="A1:K16"/>
  <sheetViews>
    <sheetView topLeftCell="B1" workbookViewId="0">
      <pane ySplit="1" topLeftCell="A2" activePane="bottomLeft" state="frozen"/>
      <selection activeCell="B1" sqref="B1"/>
      <selection pane="bottomLeft" activeCell="F38" sqref="F38"/>
    </sheetView>
  </sheetViews>
  <sheetFormatPr defaultRowHeight="15" x14ac:dyDescent="0.25"/>
  <cols>
    <col min="1" max="1" width="13.28515625" customWidth="1"/>
    <col min="2" max="2" width="3" customWidth="1"/>
    <col min="3" max="3" width="5.28515625" style="1" bestFit="1" customWidth="1"/>
    <col min="4" max="4" width="6.7109375" style="1" bestFit="1" customWidth="1"/>
    <col min="5" max="5" width="23.28515625" bestFit="1" customWidth="1"/>
    <col min="6" max="6" width="25.28515625" bestFit="1" customWidth="1"/>
    <col min="7" max="7" width="10.140625" bestFit="1" customWidth="1"/>
    <col min="8" max="8" width="9.5703125" bestFit="1" customWidth="1"/>
    <col min="9" max="9" width="11.5703125" bestFit="1" customWidth="1"/>
    <col min="10" max="10" width="2.5703125" customWidth="1"/>
    <col min="11" max="11" width="10.5703125" bestFit="1" customWidth="1"/>
  </cols>
  <sheetData>
    <row r="1" spans="1:11" x14ac:dyDescent="0.25">
      <c r="A1" s="3" t="s">
        <v>25</v>
      </c>
      <c r="C1" s="3" t="s">
        <v>28</v>
      </c>
      <c r="D1" s="3" t="s">
        <v>29</v>
      </c>
      <c r="E1" s="3" t="s">
        <v>30</v>
      </c>
      <c r="F1" s="3" t="s">
        <v>31</v>
      </c>
      <c r="G1" s="3" t="s">
        <v>32</v>
      </c>
      <c r="H1" s="3" t="s">
        <v>33</v>
      </c>
      <c r="I1" s="3" t="s">
        <v>34</v>
      </c>
      <c r="K1" s="3" t="s">
        <v>27</v>
      </c>
    </row>
    <row r="2" spans="1:11" x14ac:dyDescent="0.25">
      <c r="A2" t="s">
        <v>54</v>
      </c>
      <c r="C2" s="1" t="s">
        <v>35</v>
      </c>
      <c r="E2" t="s">
        <v>174</v>
      </c>
      <c r="F2" t="s">
        <v>56</v>
      </c>
      <c r="G2" t="s">
        <v>55</v>
      </c>
      <c r="I2" t="s">
        <v>73</v>
      </c>
      <c r="K2" t="s">
        <v>197</v>
      </c>
    </row>
    <row r="3" spans="1:11" x14ac:dyDescent="0.25">
      <c r="A3" t="s">
        <v>54</v>
      </c>
      <c r="C3" s="1" t="s">
        <v>35</v>
      </c>
      <c r="E3" t="s">
        <v>175</v>
      </c>
      <c r="F3" t="s">
        <v>57</v>
      </c>
      <c r="G3" t="s">
        <v>55</v>
      </c>
      <c r="I3" t="s">
        <v>73</v>
      </c>
      <c r="K3" t="s">
        <v>198</v>
      </c>
    </row>
    <row r="4" spans="1:11" x14ac:dyDescent="0.25">
      <c r="A4" t="s">
        <v>54</v>
      </c>
      <c r="C4" s="1" t="s">
        <v>35</v>
      </c>
      <c r="E4" t="s">
        <v>176</v>
      </c>
      <c r="F4" t="s">
        <v>58</v>
      </c>
      <c r="G4" t="s">
        <v>55</v>
      </c>
      <c r="I4" t="s">
        <v>73</v>
      </c>
      <c r="K4" t="s">
        <v>199</v>
      </c>
    </row>
    <row r="5" spans="1:11" x14ac:dyDescent="0.25">
      <c r="A5" t="s">
        <v>54</v>
      </c>
      <c r="C5" s="1" t="s">
        <v>35</v>
      </c>
      <c r="E5" t="s">
        <v>177</v>
      </c>
      <c r="F5" t="s">
        <v>59</v>
      </c>
      <c r="G5" t="s">
        <v>55</v>
      </c>
      <c r="I5" t="s">
        <v>73</v>
      </c>
      <c r="K5" t="s">
        <v>200</v>
      </c>
    </row>
    <row r="6" spans="1:11" x14ac:dyDescent="0.25">
      <c r="A6" t="s">
        <v>54</v>
      </c>
      <c r="C6" s="1" t="s">
        <v>35</v>
      </c>
      <c r="E6" t="s">
        <v>178</v>
      </c>
      <c r="F6" t="s">
        <v>80</v>
      </c>
      <c r="G6" t="s">
        <v>55</v>
      </c>
      <c r="I6" t="s">
        <v>73</v>
      </c>
      <c r="K6" t="s">
        <v>201</v>
      </c>
    </row>
    <row r="7" spans="1:11" x14ac:dyDescent="0.25">
      <c r="A7" t="s">
        <v>54</v>
      </c>
      <c r="C7" s="1" t="s">
        <v>35</v>
      </c>
      <c r="E7" t="s">
        <v>179</v>
      </c>
      <c r="F7" t="s">
        <v>81</v>
      </c>
      <c r="G7" t="s">
        <v>55</v>
      </c>
      <c r="I7" t="s">
        <v>73</v>
      </c>
      <c r="K7" t="s">
        <v>202</v>
      </c>
    </row>
    <row r="8" spans="1:11" x14ac:dyDescent="0.25">
      <c r="A8" t="s">
        <v>54</v>
      </c>
      <c r="C8" s="1" t="s">
        <v>35</v>
      </c>
      <c r="E8" t="s">
        <v>180</v>
      </c>
      <c r="F8" t="s">
        <v>82</v>
      </c>
      <c r="G8" t="s">
        <v>55</v>
      </c>
      <c r="I8" t="s">
        <v>73</v>
      </c>
      <c r="K8" t="s">
        <v>203</v>
      </c>
    </row>
    <row r="9" spans="1:11" x14ac:dyDescent="0.25">
      <c r="A9" t="s">
        <v>54</v>
      </c>
      <c r="C9" s="1" t="s">
        <v>35</v>
      </c>
      <c r="E9" t="s">
        <v>181</v>
      </c>
      <c r="F9" t="s">
        <v>182</v>
      </c>
      <c r="G9" t="s">
        <v>55</v>
      </c>
      <c r="I9" t="s">
        <v>73</v>
      </c>
      <c r="K9" t="s">
        <v>204</v>
      </c>
    </row>
    <row r="10" spans="1:11" x14ac:dyDescent="0.25">
      <c r="A10" t="s">
        <v>54</v>
      </c>
      <c r="C10" s="1" t="s">
        <v>35</v>
      </c>
      <c r="E10" t="s">
        <v>183</v>
      </c>
      <c r="F10" t="s">
        <v>184</v>
      </c>
      <c r="G10" t="s">
        <v>55</v>
      </c>
      <c r="I10" t="s">
        <v>73</v>
      </c>
      <c r="K10" t="s">
        <v>205</v>
      </c>
    </row>
    <row r="11" spans="1:11" x14ac:dyDescent="0.25">
      <c r="A11" t="s">
        <v>54</v>
      </c>
      <c r="C11" s="1" t="s">
        <v>35</v>
      </c>
      <c r="E11" t="s">
        <v>185</v>
      </c>
      <c r="F11" t="s">
        <v>186</v>
      </c>
      <c r="G11" t="s">
        <v>55</v>
      </c>
      <c r="I11" t="s">
        <v>73</v>
      </c>
      <c r="K11" t="s">
        <v>206</v>
      </c>
    </row>
    <row r="12" spans="1:11" x14ac:dyDescent="0.25">
      <c r="A12" t="s">
        <v>54</v>
      </c>
      <c r="C12" s="1" t="s">
        <v>35</v>
      </c>
      <c r="E12" t="s">
        <v>187</v>
      </c>
      <c r="F12" t="s">
        <v>188</v>
      </c>
      <c r="G12" t="s">
        <v>55</v>
      </c>
      <c r="I12" t="s">
        <v>73</v>
      </c>
      <c r="K12" t="s">
        <v>207</v>
      </c>
    </row>
    <row r="13" spans="1:11" x14ac:dyDescent="0.25">
      <c r="A13" t="s">
        <v>54</v>
      </c>
      <c r="C13" s="1" t="s">
        <v>35</v>
      </c>
      <c r="E13" t="s">
        <v>189</v>
      </c>
      <c r="F13" t="s">
        <v>190</v>
      </c>
      <c r="G13" t="s">
        <v>55</v>
      </c>
      <c r="I13" t="s">
        <v>73</v>
      </c>
      <c r="K13" t="s">
        <v>208</v>
      </c>
    </row>
    <row r="14" spans="1:11" x14ac:dyDescent="0.25">
      <c r="A14" t="s">
        <v>54</v>
      </c>
      <c r="C14" s="1" t="s">
        <v>35</v>
      </c>
      <c r="E14" t="s">
        <v>191</v>
      </c>
      <c r="F14" t="s">
        <v>192</v>
      </c>
      <c r="G14" t="s">
        <v>55</v>
      </c>
      <c r="I14" t="s">
        <v>73</v>
      </c>
      <c r="K14" t="s">
        <v>209</v>
      </c>
    </row>
    <row r="15" spans="1:11" x14ac:dyDescent="0.25">
      <c r="A15" t="s">
        <v>54</v>
      </c>
      <c r="C15" s="1" t="s">
        <v>35</v>
      </c>
      <c r="E15" t="s">
        <v>193</v>
      </c>
      <c r="F15" t="s">
        <v>194</v>
      </c>
      <c r="G15" t="s">
        <v>55</v>
      </c>
      <c r="I15" t="s">
        <v>73</v>
      </c>
      <c r="K15" t="s">
        <v>210</v>
      </c>
    </row>
    <row r="16" spans="1:11" x14ac:dyDescent="0.25">
      <c r="A16" t="s">
        <v>54</v>
      </c>
      <c r="C16" s="1" t="s">
        <v>35</v>
      </c>
      <c r="E16" t="s">
        <v>195</v>
      </c>
      <c r="F16" t="s">
        <v>196</v>
      </c>
      <c r="G16" t="s">
        <v>55</v>
      </c>
      <c r="I16" t="s">
        <v>73</v>
      </c>
      <c r="K16" t="s">
        <v>211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55A38F-1B73-4AB9-9169-F2D83CC2CE58}">
  <sheetPr codeName="Sheet3"/>
  <dimension ref="A1:K142"/>
  <sheetViews>
    <sheetView workbookViewId="0">
      <pane ySplit="1" topLeftCell="A2" activePane="bottomLeft" state="frozen"/>
      <selection pane="bottomLeft" activeCell="K2" sqref="K2"/>
    </sheetView>
  </sheetViews>
  <sheetFormatPr defaultRowHeight="15" x14ac:dyDescent="0.25"/>
  <cols>
    <col min="1" max="1" width="13.28515625" customWidth="1"/>
    <col min="2" max="2" width="3" customWidth="1"/>
    <col min="3" max="3" width="5.28515625" style="1" bestFit="1" customWidth="1"/>
    <col min="4" max="4" width="6.7109375" style="1" bestFit="1" customWidth="1"/>
    <col min="5" max="5" width="28.28515625" customWidth="1"/>
    <col min="6" max="6" width="59.42578125" bestFit="1" customWidth="1"/>
    <col min="7" max="7" width="10.140625" bestFit="1" customWidth="1"/>
    <col min="8" max="8" width="9.5703125" bestFit="1" customWidth="1"/>
    <col min="9" max="9" width="61.5703125" bestFit="1" customWidth="1"/>
    <col min="10" max="10" width="2.5703125" customWidth="1"/>
    <col min="11" max="11" width="174.85546875" bestFit="1" customWidth="1"/>
  </cols>
  <sheetData>
    <row r="1" spans="1:11" x14ac:dyDescent="0.25">
      <c r="A1" s="3" t="s">
        <v>25</v>
      </c>
      <c r="C1" s="3" t="s">
        <v>28</v>
      </c>
      <c r="D1" s="3" t="s">
        <v>29</v>
      </c>
      <c r="E1" s="3" t="s">
        <v>30</v>
      </c>
      <c r="F1" s="3" t="s">
        <v>31</v>
      </c>
      <c r="G1" s="3" t="s">
        <v>32</v>
      </c>
      <c r="H1" s="3" t="s">
        <v>33</v>
      </c>
      <c r="I1" s="3" t="s">
        <v>34</v>
      </c>
      <c r="K1" s="3" t="s">
        <v>27</v>
      </c>
    </row>
    <row r="2" spans="1:11" x14ac:dyDescent="0.25">
      <c r="A2" t="s">
        <v>60</v>
      </c>
      <c r="C2" s="1" t="s">
        <v>35</v>
      </c>
      <c r="E2" t="s">
        <v>212</v>
      </c>
      <c r="F2" t="s">
        <v>213</v>
      </c>
      <c r="G2" t="s">
        <v>44</v>
      </c>
      <c r="I2" t="s">
        <v>73</v>
      </c>
      <c r="K2" t="s">
        <v>215</v>
      </c>
    </row>
    <row r="3" spans="1:11" x14ac:dyDescent="0.25">
      <c r="A3" t="s">
        <v>60</v>
      </c>
      <c r="C3" s="1" t="s">
        <v>35</v>
      </c>
      <c r="E3" t="s">
        <v>214</v>
      </c>
      <c r="F3" t="s">
        <v>213</v>
      </c>
      <c r="G3" t="s">
        <v>12</v>
      </c>
      <c r="I3" t="s">
        <v>72</v>
      </c>
      <c r="K3" t="s">
        <v>216</v>
      </c>
    </row>
    <row r="4" spans="1:11" x14ac:dyDescent="0.25">
      <c r="A4" t="s">
        <v>60</v>
      </c>
      <c r="C4" s="1" t="s">
        <v>35</v>
      </c>
      <c r="E4" t="s">
        <v>217</v>
      </c>
      <c r="F4" t="s">
        <v>218</v>
      </c>
      <c r="G4" t="s">
        <v>44</v>
      </c>
      <c r="I4" t="s">
        <v>73</v>
      </c>
      <c r="K4" t="s">
        <v>220</v>
      </c>
    </row>
    <row r="5" spans="1:11" x14ac:dyDescent="0.25">
      <c r="A5" t="s">
        <v>60</v>
      </c>
      <c r="C5" s="1" t="s">
        <v>35</v>
      </c>
      <c r="E5" t="s">
        <v>219</v>
      </c>
      <c r="F5" t="s">
        <v>218</v>
      </c>
      <c r="G5" t="s">
        <v>12</v>
      </c>
      <c r="I5" t="s">
        <v>72</v>
      </c>
      <c r="K5" t="s">
        <v>221</v>
      </c>
    </row>
    <row r="6" spans="1:11" x14ac:dyDescent="0.25">
      <c r="A6" t="s">
        <v>60</v>
      </c>
      <c r="C6" s="1" t="s">
        <v>35</v>
      </c>
      <c r="E6" t="s">
        <v>222</v>
      </c>
      <c r="F6" t="s">
        <v>223</v>
      </c>
      <c r="G6" t="s">
        <v>44</v>
      </c>
      <c r="I6" t="s">
        <v>73</v>
      </c>
      <c r="K6" t="s">
        <v>225</v>
      </c>
    </row>
    <row r="7" spans="1:11" x14ac:dyDescent="0.25">
      <c r="A7" t="s">
        <v>60</v>
      </c>
      <c r="C7" s="1" t="s">
        <v>35</v>
      </c>
      <c r="E7" t="s">
        <v>224</v>
      </c>
      <c r="F7" t="s">
        <v>223</v>
      </c>
      <c r="G7" t="s">
        <v>12</v>
      </c>
      <c r="I7" t="s">
        <v>72</v>
      </c>
      <c r="K7" t="s">
        <v>226</v>
      </c>
    </row>
    <row r="8" spans="1:11" x14ac:dyDescent="0.25">
      <c r="A8" t="s">
        <v>60</v>
      </c>
      <c r="C8" s="1" t="s">
        <v>35</v>
      </c>
      <c r="E8" t="s">
        <v>227</v>
      </c>
      <c r="F8" t="s">
        <v>228</v>
      </c>
      <c r="G8" t="s">
        <v>44</v>
      </c>
      <c r="I8" t="s">
        <v>73</v>
      </c>
      <c r="K8" t="s">
        <v>230</v>
      </c>
    </row>
    <row r="9" spans="1:11" x14ac:dyDescent="0.25">
      <c r="A9" t="s">
        <v>60</v>
      </c>
      <c r="C9" s="1" t="s">
        <v>35</v>
      </c>
      <c r="E9" t="s">
        <v>229</v>
      </c>
      <c r="F9" t="s">
        <v>228</v>
      </c>
      <c r="G9" t="s">
        <v>12</v>
      </c>
      <c r="I9" t="s">
        <v>72</v>
      </c>
      <c r="K9" t="s">
        <v>231</v>
      </c>
    </row>
    <row r="10" spans="1:11" x14ac:dyDescent="0.25">
      <c r="A10" t="s">
        <v>60</v>
      </c>
      <c r="C10" s="1" t="s">
        <v>35</v>
      </c>
      <c r="E10" t="s">
        <v>232</v>
      </c>
      <c r="F10" t="s">
        <v>233</v>
      </c>
      <c r="G10" t="s">
        <v>44</v>
      </c>
      <c r="I10" t="s">
        <v>73</v>
      </c>
      <c r="K10" t="s">
        <v>235</v>
      </c>
    </row>
    <row r="11" spans="1:11" x14ac:dyDescent="0.25">
      <c r="A11" t="s">
        <v>60</v>
      </c>
      <c r="C11" s="1" t="s">
        <v>35</v>
      </c>
      <c r="E11" t="s">
        <v>234</v>
      </c>
      <c r="F11" t="s">
        <v>233</v>
      </c>
      <c r="G11" t="s">
        <v>12</v>
      </c>
      <c r="I11" t="s">
        <v>72</v>
      </c>
      <c r="K11" t="s">
        <v>236</v>
      </c>
    </row>
    <row r="12" spans="1:11" x14ac:dyDescent="0.25">
      <c r="A12" t="s">
        <v>60</v>
      </c>
      <c r="C12" s="1" t="s">
        <v>35</v>
      </c>
      <c r="E12" t="s">
        <v>237</v>
      </c>
      <c r="F12" t="s">
        <v>238</v>
      </c>
      <c r="G12" t="s">
        <v>44</v>
      </c>
      <c r="I12" t="s">
        <v>73</v>
      </c>
      <c r="K12" t="s">
        <v>240</v>
      </c>
    </row>
    <row r="13" spans="1:11" x14ac:dyDescent="0.25">
      <c r="A13" t="s">
        <v>60</v>
      </c>
      <c r="C13" s="1" t="s">
        <v>35</v>
      </c>
      <c r="E13" t="s">
        <v>239</v>
      </c>
      <c r="F13" t="s">
        <v>238</v>
      </c>
      <c r="G13" t="s">
        <v>12</v>
      </c>
      <c r="I13" t="s">
        <v>72</v>
      </c>
      <c r="K13" t="s">
        <v>241</v>
      </c>
    </row>
    <row r="14" spans="1:11" x14ac:dyDescent="0.25">
      <c r="A14" t="s">
        <v>60</v>
      </c>
      <c r="C14" s="1" t="s">
        <v>35</v>
      </c>
      <c r="E14" t="s">
        <v>242</v>
      </c>
      <c r="F14" t="s">
        <v>243</v>
      </c>
      <c r="G14" t="s">
        <v>44</v>
      </c>
      <c r="I14" t="s">
        <v>73</v>
      </c>
      <c r="K14" t="s">
        <v>245</v>
      </c>
    </row>
    <row r="15" spans="1:11" x14ac:dyDescent="0.25">
      <c r="A15" t="s">
        <v>60</v>
      </c>
      <c r="C15" s="1" t="s">
        <v>35</v>
      </c>
      <c r="E15" t="s">
        <v>244</v>
      </c>
      <c r="F15" t="s">
        <v>243</v>
      </c>
      <c r="G15" t="s">
        <v>12</v>
      </c>
      <c r="I15" t="s">
        <v>72</v>
      </c>
      <c r="K15" t="s">
        <v>246</v>
      </c>
    </row>
    <row r="16" spans="1:11" x14ac:dyDescent="0.25">
      <c r="A16" t="s">
        <v>60</v>
      </c>
      <c r="C16" s="1" t="s">
        <v>35</v>
      </c>
      <c r="E16" t="s">
        <v>247</v>
      </c>
      <c r="F16" t="s">
        <v>248</v>
      </c>
      <c r="G16" t="s">
        <v>44</v>
      </c>
      <c r="I16" t="s">
        <v>73</v>
      </c>
      <c r="K16" t="s">
        <v>250</v>
      </c>
    </row>
    <row r="17" spans="1:11" x14ac:dyDescent="0.25">
      <c r="A17" t="s">
        <v>60</v>
      </c>
      <c r="C17" s="1" t="s">
        <v>35</v>
      </c>
      <c r="E17" t="s">
        <v>249</v>
      </c>
      <c r="F17" t="s">
        <v>248</v>
      </c>
      <c r="G17" t="s">
        <v>12</v>
      </c>
      <c r="I17" t="s">
        <v>72</v>
      </c>
      <c r="K17" t="s">
        <v>251</v>
      </c>
    </row>
    <row r="18" spans="1:11" x14ac:dyDescent="0.25">
      <c r="A18" t="s">
        <v>60</v>
      </c>
      <c r="C18" s="1" t="s">
        <v>35</v>
      </c>
      <c r="E18" t="s">
        <v>252</v>
      </c>
      <c r="F18" t="s">
        <v>253</v>
      </c>
      <c r="G18" t="s">
        <v>44</v>
      </c>
      <c r="I18" t="s">
        <v>73</v>
      </c>
      <c r="K18" t="s">
        <v>255</v>
      </c>
    </row>
    <row r="19" spans="1:11" x14ac:dyDescent="0.25">
      <c r="A19" t="s">
        <v>60</v>
      </c>
      <c r="C19" s="1" t="s">
        <v>35</v>
      </c>
      <c r="E19" t="s">
        <v>254</v>
      </c>
      <c r="F19" t="s">
        <v>253</v>
      </c>
      <c r="G19" t="s">
        <v>12</v>
      </c>
      <c r="I19" t="s">
        <v>72</v>
      </c>
      <c r="K19" t="s">
        <v>256</v>
      </c>
    </row>
    <row r="20" spans="1:11" x14ac:dyDescent="0.25">
      <c r="A20" t="s">
        <v>60</v>
      </c>
      <c r="C20" s="1" t="s">
        <v>35</v>
      </c>
      <c r="E20" t="s">
        <v>257</v>
      </c>
      <c r="F20" t="s">
        <v>258</v>
      </c>
      <c r="G20" t="s">
        <v>44</v>
      </c>
      <c r="I20" t="s">
        <v>73</v>
      </c>
      <c r="K20" t="s">
        <v>260</v>
      </c>
    </row>
    <row r="21" spans="1:11" x14ac:dyDescent="0.25">
      <c r="A21" t="s">
        <v>60</v>
      </c>
      <c r="C21" s="1" t="s">
        <v>35</v>
      </c>
      <c r="E21" t="s">
        <v>259</v>
      </c>
      <c r="F21" t="s">
        <v>258</v>
      </c>
      <c r="G21" t="s">
        <v>12</v>
      </c>
      <c r="I21" t="s">
        <v>72</v>
      </c>
      <c r="K21" t="s">
        <v>261</v>
      </c>
    </row>
    <row r="22" spans="1:11" x14ac:dyDescent="0.25">
      <c r="A22" t="s">
        <v>60</v>
      </c>
      <c r="C22" s="1" t="s">
        <v>35</v>
      </c>
      <c r="E22" t="s">
        <v>262</v>
      </c>
      <c r="F22" t="s">
        <v>263</v>
      </c>
      <c r="G22" t="s">
        <v>44</v>
      </c>
      <c r="I22" t="s">
        <v>73</v>
      </c>
      <c r="K22" t="s">
        <v>265</v>
      </c>
    </row>
    <row r="23" spans="1:11" x14ac:dyDescent="0.25">
      <c r="A23" t="s">
        <v>60</v>
      </c>
      <c r="C23" s="1" t="s">
        <v>35</v>
      </c>
      <c r="E23" t="s">
        <v>264</v>
      </c>
      <c r="F23" t="s">
        <v>263</v>
      </c>
      <c r="G23" t="s">
        <v>12</v>
      </c>
      <c r="I23" t="s">
        <v>72</v>
      </c>
      <c r="K23" t="s">
        <v>266</v>
      </c>
    </row>
    <row r="24" spans="1:11" x14ac:dyDescent="0.25">
      <c r="A24" t="s">
        <v>60</v>
      </c>
      <c r="C24" s="1" t="s">
        <v>35</v>
      </c>
      <c r="E24" t="s">
        <v>267</v>
      </c>
      <c r="F24" t="s">
        <v>268</v>
      </c>
      <c r="G24" t="s">
        <v>44</v>
      </c>
      <c r="I24" t="s">
        <v>73</v>
      </c>
      <c r="K24" t="s">
        <v>270</v>
      </c>
    </row>
    <row r="25" spans="1:11" x14ac:dyDescent="0.25">
      <c r="A25" t="s">
        <v>60</v>
      </c>
      <c r="C25" s="1" t="s">
        <v>35</v>
      </c>
      <c r="E25" t="s">
        <v>269</v>
      </c>
      <c r="F25" t="s">
        <v>268</v>
      </c>
      <c r="G25" t="s">
        <v>12</v>
      </c>
      <c r="I25" t="s">
        <v>72</v>
      </c>
      <c r="K25" t="s">
        <v>271</v>
      </c>
    </row>
    <row r="26" spans="1:11" x14ac:dyDescent="0.25">
      <c r="A26" t="s">
        <v>60</v>
      </c>
      <c r="C26" s="1" t="s">
        <v>35</v>
      </c>
      <c r="E26" t="s">
        <v>272</v>
      </c>
      <c r="F26" t="s">
        <v>273</v>
      </c>
      <c r="G26" t="s">
        <v>44</v>
      </c>
      <c r="I26" t="s">
        <v>73</v>
      </c>
      <c r="K26" t="s">
        <v>275</v>
      </c>
    </row>
    <row r="27" spans="1:11" x14ac:dyDescent="0.25">
      <c r="A27" t="s">
        <v>60</v>
      </c>
      <c r="C27" s="1" t="s">
        <v>35</v>
      </c>
      <c r="E27" t="s">
        <v>274</v>
      </c>
      <c r="F27" t="s">
        <v>273</v>
      </c>
      <c r="G27" t="s">
        <v>12</v>
      </c>
      <c r="I27" t="s">
        <v>72</v>
      </c>
      <c r="K27" t="s">
        <v>276</v>
      </c>
    </row>
    <row r="28" spans="1:11" x14ac:dyDescent="0.25">
      <c r="A28" t="s">
        <v>60</v>
      </c>
      <c r="C28" s="1" t="s">
        <v>35</v>
      </c>
      <c r="E28" t="s">
        <v>277</v>
      </c>
      <c r="F28" t="s">
        <v>278</v>
      </c>
      <c r="G28" t="s">
        <v>44</v>
      </c>
      <c r="I28" t="s">
        <v>73</v>
      </c>
      <c r="K28" t="s">
        <v>280</v>
      </c>
    </row>
    <row r="29" spans="1:11" x14ac:dyDescent="0.25">
      <c r="A29" t="s">
        <v>60</v>
      </c>
      <c r="C29" s="1" t="s">
        <v>35</v>
      </c>
      <c r="E29" t="s">
        <v>279</v>
      </c>
      <c r="F29" t="s">
        <v>278</v>
      </c>
      <c r="G29" t="s">
        <v>12</v>
      </c>
      <c r="I29" t="s">
        <v>72</v>
      </c>
      <c r="K29" t="s">
        <v>281</v>
      </c>
    </row>
    <row r="30" spans="1:11" x14ac:dyDescent="0.25">
      <c r="A30" t="s">
        <v>60</v>
      </c>
      <c r="C30" s="1" t="s">
        <v>35</v>
      </c>
      <c r="E30" t="s">
        <v>282</v>
      </c>
      <c r="F30" t="s">
        <v>283</v>
      </c>
      <c r="G30" t="s">
        <v>44</v>
      </c>
      <c r="I30" t="s">
        <v>73</v>
      </c>
      <c r="K30" t="s">
        <v>285</v>
      </c>
    </row>
    <row r="31" spans="1:11" x14ac:dyDescent="0.25">
      <c r="A31" t="s">
        <v>60</v>
      </c>
      <c r="C31" s="1" t="s">
        <v>35</v>
      </c>
      <c r="E31" t="s">
        <v>284</v>
      </c>
      <c r="F31" t="s">
        <v>283</v>
      </c>
      <c r="G31" t="s">
        <v>12</v>
      </c>
      <c r="I31" t="s">
        <v>72</v>
      </c>
      <c r="K31" t="s">
        <v>286</v>
      </c>
    </row>
    <row r="32" spans="1:11" x14ac:dyDescent="0.25">
      <c r="A32" t="s">
        <v>60</v>
      </c>
      <c r="C32" s="1" t="s">
        <v>35</v>
      </c>
      <c r="E32" t="s">
        <v>288</v>
      </c>
      <c r="F32" t="s">
        <v>289</v>
      </c>
      <c r="G32" t="s">
        <v>44</v>
      </c>
      <c r="I32" t="s">
        <v>73</v>
      </c>
      <c r="K32" t="s">
        <v>287</v>
      </c>
    </row>
    <row r="33" spans="1:11" x14ac:dyDescent="0.25">
      <c r="A33" t="s">
        <v>60</v>
      </c>
      <c r="C33" s="1" t="s">
        <v>35</v>
      </c>
      <c r="E33" t="s">
        <v>290</v>
      </c>
      <c r="F33" t="s">
        <v>289</v>
      </c>
      <c r="G33" t="s">
        <v>12</v>
      </c>
      <c r="I33" t="s">
        <v>72</v>
      </c>
      <c r="K33" t="s">
        <v>291</v>
      </c>
    </row>
    <row r="34" spans="1:11" x14ac:dyDescent="0.25">
      <c r="A34" t="s">
        <v>60</v>
      </c>
      <c r="C34" s="1" t="s">
        <v>35</v>
      </c>
      <c r="E34" t="s">
        <v>293</v>
      </c>
      <c r="F34" t="s">
        <v>294</v>
      </c>
      <c r="G34" t="s">
        <v>44</v>
      </c>
      <c r="I34" t="s">
        <v>73</v>
      </c>
      <c r="K34" t="s">
        <v>292</v>
      </c>
    </row>
    <row r="35" spans="1:11" x14ac:dyDescent="0.25">
      <c r="A35" t="s">
        <v>60</v>
      </c>
      <c r="C35" s="1" t="s">
        <v>35</v>
      </c>
      <c r="E35" t="s">
        <v>295</v>
      </c>
      <c r="F35" t="s">
        <v>294</v>
      </c>
      <c r="G35" t="s">
        <v>12</v>
      </c>
      <c r="I35" t="s">
        <v>72</v>
      </c>
      <c r="K35" t="s">
        <v>296</v>
      </c>
    </row>
    <row r="36" spans="1:11" x14ac:dyDescent="0.25">
      <c r="A36" t="s">
        <v>60</v>
      </c>
      <c r="C36" s="1" t="s">
        <v>35</v>
      </c>
      <c r="E36" t="s">
        <v>298</v>
      </c>
      <c r="F36" t="s">
        <v>299</v>
      </c>
      <c r="G36" t="s">
        <v>44</v>
      </c>
      <c r="I36" t="s">
        <v>73</v>
      </c>
      <c r="K36" t="s">
        <v>297</v>
      </c>
    </row>
    <row r="37" spans="1:11" x14ac:dyDescent="0.25">
      <c r="A37" t="s">
        <v>60</v>
      </c>
      <c r="C37" s="1" t="s">
        <v>35</v>
      </c>
      <c r="E37" t="s">
        <v>300</v>
      </c>
      <c r="F37" t="s">
        <v>299</v>
      </c>
      <c r="G37" t="s">
        <v>12</v>
      </c>
      <c r="I37" t="s">
        <v>72</v>
      </c>
      <c r="K37" t="s">
        <v>301</v>
      </c>
    </row>
    <row r="38" spans="1:11" x14ac:dyDescent="0.25">
      <c r="A38" t="s">
        <v>60</v>
      </c>
      <c r="C38" s="1" t="s">
        <v>35</v>
      </c>
      <c r="E38" t="s">
        <v>303</v>
      </c>
      <c r="F38" t="s">
        <v>304</v>
      </c>
      <c r="G38" t="s">
        <v>44</v>
      </c>
      <c r="I38" t="s">
        <v>73</v>
      </c>
      <c r="K38" t="s">
        <v>302</v>
      </c>
    </row>
    <row r="39" spans="1:11" x14ac:dyDescent="0.25">
      <c r="A39" t="s">
        <v>60</v>
      </c>
      <c r="C39" s="1" t="s">
        <v>35</v>
      </c>
      <c r="E39" t="s">
        <v>305</v>
      </c>
      <c r="F39" t="s">
        <v>304</v>
      </c>
      <c r="G39" t="s">
        <v>12</v>
      </c>
      <c r="I39" t="s">
        <v>72</v>
      </c>
      <c r="K39" t="s">
        <v>306</v>
      </c>
    </row>
    <row r="40" spans="1:11" x14ac:dyDescent="0.25">
      <c r="A40" t="s">
        <v>60</v>
      </c>
      <c r="C40" s="1" t="s">
        <v>35</v>
      </c>
      <c r="E40" t="s">
        <v>308</v>
      </c>
      <c r="F40" t="s">
        <v>309</v>
      </c>
      <c r="G40" t="s">
        <v>44</v>
      </c>
      <c r="I40" t="s">
        <v>73</v>
      </c>
      <c r="K40" t="s">
        <v>307</v>
      </c>
    </row>
    <row r="41" spans="1:11" x14ac:dyDescent="0.25">
      <c r="A41" t="s">
        <v>60</v>
      </c>
      <c r="C41" s="1" t="s">
        <v>35</v>
      </c>
      <c r="E41" t="s">
        <v>310</v>
      </c>
      <c r="F41" t="s">
        <v>309</v>
      </c>
      <c r="G41" t="s">
        <v>12</v>
      </c>
      <c r="I41" t="s">
        <v>72</v>
      </c>
      <c r="K41" t="s">
        <v>311</v>
      </c>
    </row>
    <row r="42" spans="1:11" x14ac:dyDescent="0.25">
      <c r="A42" t="s">
        <v>60</v>
      </c>
      <c r="C42" s="1" t="s">
        <v>35</v>
      </c>
      <c r="E42" t="s">
        <v>313</v>
      </c>
      <c r="F42" t="s">
        <v>314</v>
      </c>
      <c r="G42" t="s">
        <v>44</v>
      </c>
      <c r="I42" t="s">
        <v>73</v>
      </c>
      <c r="K42" t="s">
        <v>312</v>
      </c>
    </row>
    <row r="43" spans="1:11" x14ac:dyDescent="0.25">
      <c r="A43" t="s">
        <v>60</v>
      </c>
      <c r="C43" s="1" t="s">
        <v>35</v>
      </c>
      <c r="E43" t="s">
        <v>315</v>
      </c>
      <c r="F43" t="s">
        <v>314</v>
      </c>
      <c r="G43" t="s">
        <v>12</v>
      </c>
      <c r="I43" t="s">
        <v>72</v>
      </c>
      <c r="K43" t="s">
        <v>316</v>
      </c>
    </row>
    <row r="44" spans="1:11" x14ac:dyDescent="0.25">
      <c r="A44" t="s">
        <v>60</v>
      </c>
      <c r="C44" s="1" t="s">
        <v>35</v>
      </c>
      <c r="E44" t="s">
        <v>318</v>
      </c>
      <c r="F44" t="s">
        <v>319</v>
      </c>
      <c r="G44" t="s">
        <v>44</v>
      </c>
      <c r="I44" t="s">
        <v>73</v>
      </c>
      <c r="K44" t="s">
        <v>317</v>
      </c>
    </row>
    <row r="45" spans="1:11" x14ac:dyDescent="0.25">
      <c r="A45" t="s">
        <v>60</v>
      </c>
      <c r="C45" s="1" t="s">
        <v>35</v>
      </c>
      <c r="E45" t="s">
        <v>320</v>
      </c>
      <c r="F45" t="s">
        <v>319</v>
      </c>
      <c r="G45" t="s">
        <v>12</v>
      </c>
      <c r="I45" t="s">
        <v>72</v>
      </c>
      <c r="K45" t="s">
        <v>321</v>
      </c>
    </row>
    <row r="46" spans="1:11" x14ac:dyDescent="0.25">
      <c r="A46" t="s">
        <v>60</v>
      </c>
      <c r="C46" s="1" t="s">
        <v>35</v>
      </c>
      <c r="E46" t="s">
        <v>323</v>
      </c>
      <c r="F46" t="s">
        <v>324</v>
      </c>
      <c r="G46" t="s">
        <v>44</v>
      </c>
      <c r="I46" t="s">
        <v>73</v>
      </c>
      <c r="K46" t="s">
        <v>322</v>
      </c>
    </row>
    <row r="47" spans="1:11" x14ac:dyDescent="0.25">
      <c r="A47" t="s">
        <v>60</v>
      </c>
      <c r="C47" s="1" t="s">
        <v>35</v>
      </c>
      <c r="E47" t="s">
        <v>325</v>
      </c>
      <c r="F47" t="s">
        <v>324</v>
      </c>
      <c r="G47" t="s">
        <v>12</v>
      </c>
      <c r="I47" t="s">
        <v>72</v>
      </c>
      <c r="K47" t="s">
        <v>326</v>
      </c>
    </row>
    <row r="48" spans="1:11" x14ac:dyDescent="0.25">
      <c r="A48" t="s">
        <v>60</v>
      </c>
      <c r="C48" s="1" t="s">
        <v>35</v>
      </c>
      <c r="E48" t="s">
        <v>328</v>
      </c>
      <c r="F48" t="s">
        <v>329</v>
      </c>
      <c r="G48" t="s">
        <v>44</v>
      </c>
      <c r="I48" t="s">
        <v>73</v>
      </c>
      <c r="K48" t="s">
        <v>327</v>
      </c>
    </row>
    <row r="49" spans="1:11" x14ac:dyDescent="0.25">
      <c r="A49" t="s">
        <v>60</v>
      </c>
      <c r="C49" s="1" t="s">
        <v>35</v>
      </c>
      <c r="E49" t="s">
        <v>330</v>
      </c>
      <c r="F49" t="s">
        <v>329</v>
      </c>
      <c r="G49" t="s">
        <v>12</v>
      </c>
      <c r="I49" t="s">
        <v>72</v>
      </c>
      <c r="K49" t="s">
        <v>331</v>
      </c>
    </row>
    <row r="50" spans="1:11" x14ac:dyDescent="0.25">
      <c r="A50" t="s">
        <v>60</v>
      </c>
      <c r="C50" s="1" t="s">
        <v>35</v>
      </c>
      <c r="E50" t="s">
        <v>333</v>
      </c>
      <c r="F50" t="s">
        <v>334</v>
      </c>
      <c r="G50" t="s">
        <v>44</v>
      </c>
      <c r="I50" t="s">
        <v>73</v>
      </c>
      <c r="K50" t="s">
        <v>332</v>
      </c>
    </row>
    <row r="51" spans="1:11" x14ac:dyDescent="0.25">
      <c r="A51" t="s">
        <v>60</v>
      </c>
      <c r="C51" s="1" t="s">
        <v>35</v>
      </c>
      <c r="E51" t="s">
        <v>335</v>
      </c>
      <c r="F51" t="s">
        <v>334</v>
      </c>
      <c r="G51" t="s">
        <v>12</v>
      </c>
      <c r="I51" t="s">
        <v>72</v>
      </c>
      <c r="K51" t="s">
        <v>336</v>
      </c>
    </row>
    <row r="52" spans="1:11" x14ac:dyDescent="0.25">
      <c r="A52" t="s">
        <v>60</v>
      </c>
      <c r="C52" s="1" t="s">
        <v>35</v>
      </c>
      <c r="E52" t="s">
        <v>338</v>
      </c>
      <c r="F52" t="s">
        <v>339</v>
      </c>
      <c r="G52" t="s">
        <v>44</v>
      </c>
      <c r="I52" t="s">
        <v>73</v>
      </c>
      <c r="K52" t="s">
        <v>337</v>
      </c>
    </row>
    <row r="53" spans="1:11" x14ac:dyDescent="0.25">
      <c r="A53" t="s">
        <v>60</v>
      </c>
      <c r="C53" s="1" t="s">
        <v>35</v>
      </c>
      <c r="E53" t="s">
        <v>340</v>
      </c>
      <c r="F53" t="s">
        <v>339</v>
      </c>
      <c r="G53" t="s">
        <v>12</v>
      </c>
      <c r="I53" t="s">
        <v>72</v>
      </c>
      <c r="K53" t="s">
        <v>341</v>
      </c>
    </row>
    <row r="54" spans="1:11" x14ac:dyDescent="0.25">
      <c r="A54" t="s">
        <v>60</v>
      </c>
      <c r="C54" s="1" t="s">
        <v>35</v>
      </c>
      <c r="E54" t="s">
        <v>343</v>
      </c>
      <c r="F54" t="s">
        <v>344</v>
      </c>
      <c r="G54" t="s">
        <v>44</v>
      </c>
      <c r="I54" t="s">
        <v>73</v>
      </c>
      <c r="K54" t="s">
        <v>342</v>
      </c>
    </row>
    <row r="55" spans="1:11" x14ac:dyDescent="0.25">
      <c r="A55" t="s">
        <v>60</v>
      </c>
      <c r="C55" s="1" t="s">
        <v>35</v>
      </c>
      <c r="E55" t="s">
        <v>345</v>
      </c>
      <c r="F55" t="s">
        <v>344</v>
      </c>
      <c r="G55" t="s">
        <v>12</v>
      </c>
      <c r="I55" t="s">
        <v>72</v>
      </c>
      <c r="K55" t="s">
        <v>346</v>
      </c>
    </row>
    <row r="56" spans="1:11" x14ac:dyDescent="0.25">
      <c r="A56" t="s">
        <v>60</v>
      </c>
      <c r="C56" s="1" t="s">
        <v>35</v>
      </c>
      <c r="E56" t="s">
        <v>348</v>
      </c>
      <c r="F56" t="s">
        <v>349</v>
      </c>
      <c r="G56" t="s">
        <v>44</v>
      </c>
      <c r="I56" t="s">
        <v>73</v>
      </c>
      <c r="K56" t="s">
        <v>347</v>
      </c>
    </row>
    <row r="57" spans="1:11" x14ac:dyDescent="0.25">
      <c r="A57" t="s">
        <v>60</v>
      </c>
      <c r="C57" s="1" t="s">
        <v>35</v>
      </c>
      <c r="E57" t="s">
        <v>350</v>
      </c>
      <c r="F57" t="s">
        <v>349</v>
      </c>
      <c r="G57" t="s">
        <v>12</v>
      </c>
      <c r="I57" t="s">
        <v>72</v>
      </c>
      <c r="K57" t="s">
        <v>351</v>
      </c>
    </row>
    <row r="58" spans="1:11" x14ac:dyDescent="0.25">
      <c r="A58" t="s">
        <v>60</v>
      </c>
      <c r="C58" s="1" t="s">
        <v>35</v>
      </c>
      <c r="E58" t="s">
        <v>353</v>
      </c>
      <c r="F58" t="s">
        <v>354</v>
      </c>
      <c r="G58" t="s">
        <v>44</v>
      </c>
      <c r="I58" t="s">
        <v>73</v>
      </c>
      <c r="K58" t="s">
        <v>352</v>
      </c>
    </row>
    <row r="59" spans="1:11" x14ac:dyDescent="0.25">
      <c r="A59" t="s">
        <v>60</v>
      </c>
      <c r="C59" s="1" t="s">
        <v>35</v>
      </c>
      <c r="E59" t="s">
        <v>355</v>
      </c>
      <c r="F59" t="s">
        <v>354</v>
      </c>
      <c r="G59" t="s">
        <v>12</v>
      </c>
      <c r="I59" t="s">
        <v>72</v>
      </c>
      <c r="K59" t="s">
        <v>356</v>
      </c>
    </row>
    <row r="60" spans="1:11" x14ac:dyDescent="0.25">
      <c r="A60" t="s">
        <v>60</v>
      </c>
      <c r="C60" s="1" t="s">
        <v>35</v>
      </c>
      <c r="E60" t="s">
        <v>358</v>
      </c>
      <c r="F60" t="s">
        <v>359</v>
      </c>
      <c r="G60" t="s">
        <v>44</v>
      </c>
      <c r="I60" t="s">
        <v>73</v>
      </c>
      <c r="K60" t="s">
        <v>357</v>
      </c>
    </row>
    <row r="61" spans="1:11" x14ac:dyDescent="0.25">
      <c r="A61" t="s">
        <v>60</v>
      </c>
      <c r="C61" s="1" t="s">
        <v>35</v>
      </c>
      <c r="E61" t="s">
        <v>360</v>
      </c>
      <c r="F61" t="s">
        <v>359</v>
      </c>
      <c r="G61" t="s">
        <v>12</v>
      </c>
      <c r="I61" t="s">
        <v>72</v>
      </c>
      <c r="K61" t="s">
        <v>361</v>
      </c>
    </row>
    <row r="62" spans="1:11" x14ac:dyDescent="0.25">
      <c r="A62" t="s">
        <v>60</v>
      </c>
      <c r="C62" s="1" t="s">
        <v>35</v>
      </c>
      <c r="E62" t="s">
        <v>364</v>
      </c>
      <c r="F62" t="s">
        <v>365</v>
      </c>
      <c r="G62" t="s">
        <v>44</v>
      </c>
      <c r="I62" t="s">
        <v>73</v>
      </c>
      <c r="K62" t="s">
        <v>362</v>
      </c>
    </row>
    <row r="63" spans="1:11" x14ac:dyDescent="0.25">
      <c r="A63" t="s">
        <v>60</v>
      </c>
      <c r="C63" s="1" t="s">
        <v>35</v>
      </c>
      <c r="E63" t="s">
        <v>366</v>
      </c>
      <c r="F63" t="s">
        <v>365</v>
      </c>
      <c r="G63" t="s">
        <v>12</v>
      </c>
      <c r="I63" t="s">
        <v>72</v>
      </c>
      <c r="K63" t="s">
        <v>363</v>
      </c>
    </row>
    <row r="64" spans="1:11" x14ac:dyDescent="0.25">
      <c r="A64" t="s">
        <v>60</v>
      </c>
      <c r="C64" s="1" t="s">
        <v>35</v>
      </c>
      <c r="E64" t="s">
        <v>369</v>
      </c>
      <c r="F64" t="s">
        <v>370</v>
      </c>
      <c r="G64" t="s">
        <v>44</v>
      </c>
      <c r="I64" t="s">
        <v>73</v>
      </c>
      <c r="K64" t="s">
        <v>367</v>
      </c>
    </row>
    <row r="65" spans="1:11" x14ac:dyDescent="0.25">
      <c r="A65" t="s">
        <v>60</v>
      </c>
      <c r="C65" s="1" t="s">
        <v>35</v>
      </c>
      <c r="E65" t="s">
        <v>371</v>
      </c>
      <c r="F65" t="s">
        <v>370</v>
      </c>
      <c r="G65" t="s">
        <v>12</v>
      </c>
      <c r="I65" t="s">
        <v>72</v>
      </c>
      <c r="K65" t="s">
        <v>368</v>
      </c>
    </row>
    <row r="66" spans="1:11" x14ac:dyDescent="0.25">
      <c r="A66" t="s">
        <v>60</v>
      </c>
      <c r="C66" s="1" t="s">
        <v>35</v>
      </c>
      <c r="E66" t="s">
        <v>374</v>
      </c>
      <c r="F66" t="s">
        <v>375</v>
      </c>
      <c r="G66" t="s">
        <v>44</v>
      </c>
      <c r="I66" t="s">
        <v>73</v>
      </c>
      <c r="K66" t="s">
        <v>372</v>
      </c>
    </row>
    <row r="67" spans="1:11" x14ac:dyDescent="0.25">
      <c r="A67" t="s">
        <v>60</v>
      </c>
      <c r="C67" s="1" t="s">
        <v>35</v>
      </c>
      <c r="E67" t="s">
        <v>376</v>
      </c>
      <c r="F67" t="s">
        <v>375</v>
      </c>
      <c r="G67" t="s">
        <v>12</v>
      </c>
      <c r="I67" t="s">
        <v>72</v>
      </c>
      <c r="K67" t="s">
        <v>373</v>
      </c>
    </row>
    <row r="68" spans="1:11" x14ac:dyDescent="0.25">
      <c r="A68" t="s">
        <v>60</v>
      </c>
      <c r="C68" s="1" t="s">
        <v>35</v>
      </c>
      <c r="E68" t="s">
        <v>379</v>
      </c>
      <c r="F68" t="s">
        <v>380</v>
      </c>
      <c r="G68" t="s">
        <v>44</v>
      </c>
      <c r="I68" t="s">
        <v>73</v>
      </c>
      <c r="K68" t="s">
        <v>377</v>
      </c>
    </row>
    <row r="69" spans="1:11" x14ac:dyDescent="0.25">
      <c r="A69" t="s">
        <v>60</v>
      </c>
      <c r="C69" s="1" t="s">
        <v>35</v>
      </c>
      <c r="E69" t="s">
        <v>381</v>
      </c>
      <c r="F69" t="s">
        <v>380</v>
      </c>
      <c r="G69" t="s">
        <v>12</v>
      </c>
      <c r="I69" t="s">
        <v>72</v>
      </c>
      <c r="K69" t="s">
        <v>378</v>
      </c>
    </row>
    <row r="70" spans="1:11" x14ac:dyDescent="0.25">
      <c r="A70" t="s">
        <v>60</v>
      </c>
      <c r="C70" s="1" t="s">
        <v>35</v>
      </c>
      <c r="E70" t="s">
        <v>384</v>
      </c>
      <c r="F70" t="s">
        <v>385</v>
      </c>
      <c r="G70" t="s">
        <v>44</v>
      </c>
      <c r="I70" t="s">
        <v>73</v>
      </c>
      <c r="K70" t="s">
        <v>382</v>
      </c>
    </row>
    <row r="71" spans="1:11" x14ac:dyDescent="0.25">
      <c r="A71" t="s">
        <v>60</v>
      </c>
      <c r="C71" s="1" t="s">
        <v>35</v>
      </c>
      <c r="E71" t="s">
        <v>386</v>
      </c>
      <c r="F71" t="s">
        <v>385</v>
      </c>
      <c r="G71" t="s">
        <v>12</v>
      </c>
      <c r="I71" t="s">
        <v>72</v>
      </c>
      <c r="K71" t="s">
        <v>383</v>
      </c>
    </row>
    <row r="72" spans="1:11" x14ac:dyDescent="0.25">
      <c r="A72" t="s">
        <v>60</v>
      </c>
      <c r="C72" s="1" t="s">
        <v>35</v>
      </c>
      <c r="E72" t="s">
        <v>389</v>
      </c>
      <c r="F72" t="s">
        <v>390</v>
      </c>
      <c r="G72" t="s">
        <v>44</v>
      </c>
      <c r="I72" t="s">
        <v>73</v>
      </c>
      <c r="K72" t="s">
        <v>387</v>
      </c>
    </row>
    <row r="73" spans="1:11" x14ac:dyDescent="0.25">
      <c r="A73" t="s">
        <v>60</v>
      </c>
      <c r="C73" s="1" t="s">
        <v>35</v>
      </c>
      <c r="E73" t="s">
        <v>391</v>
      </c>
      <c r="F73" t="s">
        <v>390</v>
      </c>
      <c r="G73" t="s">
        <v>12</v>
      </c>
      <c r="I73" t="s">
        <v>72</v>
      </c>
      <c r="K73" t="s">
        <v>388</v>
      </c>
    </row>
    <row r="74" spans="1:11" x14ac:dyDescent="0.25">
      <c r="A74" t="s">
        <v>60</v>
      </c>
      <c r="C74" s="1" t="s">
        <v>35</v>
      </c>
      <c r="E74" t="s">
        <v>394</v>
      </c>
      <c r="F74" t="s">
        <v>395</v>
      </c>
      <c r="G74" t="s">
        <v>44</v>
      </c>
      <c r="I74" t="s">
        <v>73</v>
      </c>
      <c r="K74" t="s">
        <v>392</v>
      </c>
    </row>
    <row r="75" spans="1:11" x14ac:dyDescent="0.25">
      <c r="A75" t="s">
        <v>60</v>
      </c>
      <c r="C75" s="1" t="s">
        <v>35</v>
      </c>
      <c r="E75" t="s">
        <v>396</v>
      </c>
      <c r="F75" t="s">
        <v>395</v>
      </c>
      <c r="G75" t="s">
        <v>12</v>
      </c>
      <c r="I75" t="s">
        <v>72</v>
      </c>
      <c r="K75" t="s">
        <v>393</v>
      </c>
    </row>
    <row r="76" spans="1:11" x14ac:dyDescent="0.25">
      <c r="A76" t="s">
        <v>60</v>
      </c>
      <c r="C76" s="1" t="s">
        <v>35</v>
      </c>
      <c r="E76" t="s">
        <v>399</v>
      </c>
      <c r="F76" t="s">
        <v>400</v>
      </c>
      <c r="G76" t="s">
        <v>44</v>
      </c>
      <c r="I76" t="s">
        <v>73</v>
      </c>
      <c r="K76" t="s">
        <v>397</v>
      </c>
    </row>
    <row r="77" spans="1:11" x14ac:dyDescent="0.25">
      <c r="A77" t="s">
        <v>60</v>
      </c>
      <c r="C77" s="1" t="s">
        <v>35</v>
      </c>
      <c r="E77" t="s">
        <v>401</v>
      </c>
      <c r="F77" t="s">
        <v>400</v>
      </c>
      <c r="G77" t="s">
        <v>12</v>
      </c>
      <c r="I77" t="s">
        <v>72</v>
      </c>
      <c r="K77" t="s">
        <v>398</v>
      </c>
    </row>
    <row r="78" spans="1:11" x14ac:dyDescent="0.25">
      <c r="A78" t="s">
        <v>60</v>
      </c>
      <c r="C78" s="1" t="s">
        <v>35</v>
      </c>
      <c r="E78" t="s">
        <v>404</v>
      </c>
      <c r="F78" t="s">
        <v>405</v>
      </c>
      <c r="G78" t="s">
        <v>44</v>
      </c>
      <c r="I78" t="s">
        <v>73</v>
      </c>
      <c r="K78" t="s">
        <v>402</v>
      </c>
    </row>
    <row r="79" spans="1:11" x14ac:dyDescent="0.25">
      <c r="A79" t="s">
        <v>60</v>
      </c>
      <c r="C79" s="1" t="s">
        <v>35</v>
      </c>
      <c r="E79" t="s">
        <v>406</v>
      </c>
      <c r="F79" t="s">
        <v>405</v>
      </c>
      <c r="G79" t="s">
        <v>12</v>
      </c>
      <c r="I79" t="s">
        <v>72</v>
      </c>
      <c r="K79" t="s">
        <v>403</v>
      </c>
    </row>
    <row r="80" spans="1:11" x14ac:dyDescent="0.25">
      <c r="A80" t="s">
        <v>60</v>
      </c>
      <c r="C80" s="1" t="s">
        <v>35</v>
      </c>
      <c r="E80" t="s">
        <v>409</v>
      </c>
      <c r="F80" t="s">
        <v>410</v>
      </c>
      <c r="G80" t="s">
        <v>44</v>
      </c>
      <c r="I80" t="s">
        <v>73</v>
      </c>
      <c r="K80" t="s">
        <v>407</v>
      </c>
    </row>
    <row r="81" spans="1:11" x14ac:dyDescent="0.25">
      <c r="A81" t="s">
        <v>60</v>
      </c>
      <c r="C81" s="1" t="s">
        <v>35</v>
      </c>
      <c r="E81" t="s">
        <v>411</v>
      </c>
      <c r="F81" t="s">
        <v>410</v>
      </c>
      <c r="G81" t="s">
        <v>12</v>
      </c>
      <c r="I81" t="s">
        <v>72</v>
      </c>
      <c r="K81" t="s">
        <v>408</v>
      </c>
    </row>
    <row r="82" spans="1:11" x14ac:dyDescent="0.25">
      <c r="A82" t="s">
        <v>60</v>
      </c>
      <c r="C82" s="1" t="s">
        <v>35</v>
      </c>
      <c r="E82" t="s">
        <v>414</v>
      </c>
      <c r="F82" t="s">
        <v>415</v>
      </c>
      <c r="G82" t="s">
        <v>44</v>
      </c>
      <c r="I82" t="s">
        <v>73</v>
      </c>
      <c r="K82" t="s">
        <v>412</v>
      </c>
    </row>
    <row r="83" spans="1:11" x14ac:dyDescent="0.25">
      <c r="A83" t="s">
        <v>60</v>
      </c>
      <c r="C83" s="1" t="s">
        <v>35</v>
      </c>
      <c r="E83" t="s">
        <v>416</v>
      </c>
      <c r="F83" t="s">
        <v>415</v>
      </c>
      <c r="G83" t="s">
        <v>12</v>
      </c>
      <c r="I83" t="s">
        <v>72</v>
      </c>
      <c r="K83" t="s">
        <v>413</v>
      </c>
    </row>
    <row r="84" spans="1:11" x14ac:dyDescent="0.25">
      <c r="A84" t="s">
        <v>60</v>
      </c>
      <c r="C84" s="1" t="s">
        <v>35</v>
      </c>
      <c r="E84" t="s">
        <v>419</v>
      </c>
      <c r="F84" t="s">
        <v>420</v>
      </c>
      <c r="G84" t="s">
        <v>44</v>
      </c>
      <c r="I84" t="s">
        <v>73</v>
      </c>
      <c r="K84" t="s">
        <v>417</v>
      </c>
    </row>
    <row r="85" spans="1:11" x14ac:dyDescent="0.25">
      <c r="A85" t="s">
        <v>60</v>
      </c>
      <c r="C85" s="1" t="s">
        <v>35</v>
      </c>
      <c r="E85" t="s">
        <v>421</v>
      </c>
      <c r="F85" t="s">
        <v>420</v>
      </c>
      <c r="G85" t="s">
        <v>12</v>
      </c>
      <c r="I85" t="s">
        <v>72</v>
      </c>
      <c r="K85" t="s">
        <v>418</v>
      </c>
    </row>
    <row r="86" spans="1:11" x14ac:dyDescent="0.25">
      <c r="A86" t="s">
        <v>60</v>
      </c>
      <c r="C86" s="1" t="s">
        <v>35</v>
      </c>
      <c r="E86" t="s">
        <v>424</v>
      </c>
      <c r="F86" t="s">
        <v>425</v>
      </c>
      <c r="G86" t="s">
        <v>44</v>
      </c>
      <c r="I86" t="s">
        <v>73</v>
      </c>
      <c r="K86" t="s">
        <v>422</v>
      </c>
    </row>
    <row r="87" spans="1:11" x14ac:dyDescent="0.25">
      <c r="A87" t="s">
        <v>60</v>
      </c>
      <c r="C87" s="1" t="s">
        <v>35</v>
      </c>
      <c r="E87" t="s">
        <v>426</v>
      </c>
      <c r="F87" t="s">
        <v>425</v>
      </c>
      <c r="G87" t="s">
        <v>12</v>
      </c>
      <c r="I87" t="s">
        <v>72</v>
      </c>
      <c r="K87" t="s">
        <v>423</v>
      </c>
    </row>
    <row r="88" spans="1:11" x14ac:dyDescent="0.25">
      <c r="A88" t="s">
        <v>60</v>
      </c>
      <c r="C88" s="1" t="s">
        <v>35</v>
      </c>
      <c r="E88" t="s">
        <v>429</v>
      </c>
      <c r="F88" t="s">
        <v>430</v>
      </c>
      <c r="G88" t="s">
        <v>44</v>
      </c>
      <c r="I88" t="s">
        <v>73</v>
      </c>
      <c r="K88" t="s">
        <v>427</v>
      </c>
    </row>
    <row r="89" spans="1:11" x14ac:dyDescent="0.25">
      <c r="A89" t="s">
        <v>60</v>
      </c>
      <c r="C89" s="1" t="s">
        <v>35</v>
      </c>
      <c r="E89" t="s">
        <v>431</v>
      </c>
      <c r="F89" t="s">
        <v>430</v>
      </c>
      <c r="G89" t="s">
        <v>12</v>
      </c>
      <c r="I89" t="s">
        <v>72</v>
      </c>
      <c r="K89" t="s">
        <v>428</v>
      </c>
    </row>
    <row r="90" spans="1:11" x14ac:dyDescent="0.25">
      <c r="A90" t="s">
        <v>60</v>
      </c>
      <c r="C90" s="1" t="s">
        <v>35</v>
      </c>
      <c r="E90" t="s">
        <v>434</v>
      </c>
      <c r="F90" t="s">
        <v>435</v>
      </c>
      <c r="G90" t="s">
        <v>44</v>
      </c>
      <c r="I90" t="s">
        <v>73</v>
      </c>
      <c r="K90" t="s">
        <v>432</v>
      </c>
    </row>
    <row r="91" spans="1:11" x14ac:dyDescent="0.25">
      <c r="A91" t="s">
        <v>60</v>
      </c>
      <c r="C91" s="1" t="s">
        <v>35</v>
      </c>
      <c r="E91" t="s">
        <v>436</v>
      </c>
      <c r="F91" t="s">
        <v>435</v>
      </c>
      <c r="G91" t="s">
        <v>12</v>
      </c>
      <c r="I91" t="s">
        <v>72</v>
      </c>
      <c r="K91" t="s">
        <v>433</v>
      </c>
    </row>
    <row r="92" spans="1:11" x14ac:dyDescent="0.25">
      <c r="A92" t="s">
        <v>60</v>
      </c>
      <c r="C92" s="1" t="s">
        <v>35</v>
      </c>
      <c r="E92" t="s">
        <v>456</v>
      </c>
      <c r="F92" t="s">
        <v>457</v>
      </c>
      <c r="G92" t="s">
        <v>44</v>
      </c>
      <c r="I92" t="s">
        <v>73</v>
      </c>
      <c r="K92" t="s">
        <v>437</v>
      </c>
    </row>
    <row r="93" spans="1:11" x14ac:dyDescent="0.25">
      <c r="A93" t="s">
        <v>60</v>
      </c>
      <c r="C93" s="1" t="s">
        <v>35</v>
      </c>
      <c r="E93" t="s">
        <v>458</v>
      </c>
      <c r="F93" t="s">
        <v>457</v>
      </c>
      <c r="G93" t="s">
        <v>12</v>
      </c>
      <c r="I93" t="s">
        <v>72</v>
      </c>
      <c r="K93" t="s">
        <v>438</v>
      </c>
    </row>
    <row r="94" spans="1:11" x14ac:dyDescent="0.25">
      <c r="A94" t="s">
        <v>60</v>
      </c>
      <c r="C94" s="1" t="s">
        <v>35</v>
      </c>
      <c r="E94" t="s">
        <v>461</v>
      </c>
      <c r="F94" t="s">
        <v>462</v>
      </c>
      <c r="G94" t="s">
        <v>44</v>
      </c>
      <c r="I94" t="s">
        <v>73</v>
      </c>
      <c r="K94" t="s">
        <v>439</v>
      </c>
    </row>
    <row r="95" spans="1:11" x14ac:dyDescent="0.25">
      <c r="A95" t="s">
        <v>60</v>
      </c>
      <c r="C95" s="1" t="s">
        <v>35</v>
      </c>
      <c r="E95" t="s">
        <v>463</v>
      </c>
      <c r="F95" t="s">
        <v>462</v>
      </c>
      <c r="G95" t="s">
        <v>12</v>
      </c>
      <c r="I95" t="s">
        <v>72</v>
      </c>
      <c r="K95" t="s">
        <v>440</v>
      </c>
    </row>
    <row r="96" spans="1:11" x14ac:dyDescent="0.25">
      <c r="A96" t="s">
        <v>60</v>
      </c>
      <c r="C96" s="1" t="s">
        <v>35</v>
      </c>
      <c r="E96" t="s">
        <v>466</v>
      </c>
      <c r="F96" t="s">
        <v>467</v>
      </c>
      <c r="G96" t="s">
        <v>44</v>
      </c>
      <c r="I96" t="s">
        <v>73</v>
      </c>
      <c r="K96" t="s">
        <v>441</v>
      </c>
    </row>
    <row r="97" spans="1:11" x14ac:dyDescent="0.25">
      <c r="A97" t="s">
        <v>60</v>
      </c>
      <c r="C97" s="1" t="s">
        <v>35</v>
      </c>
      <c r="E97" t="s">
        <v>468</v>
      </c>
      <c r="F97" t="s">
        <v>467</v>
      </c>
      <c r="G97" t="s">
        <v>12</v>
      </c>
      <c r="I97" t="s">
        <v>72</v>
      </c>
      <c r="K97" t="s">
        <v>442</v>
      </c>
    </row>
    <row r="98" spans="1:11" x14ac:dyDescent="0.25">
      <c r="A98" t="s">
        <v>60</v>
      </c>
      <c r="C98" s="1" t="s">
        <v>35</v>
      </c>
      <c r="E98" t="s">
        <v>471</v>
      </c>
      <c r="F98" t="s">
        <v>472</v>
      </c>
      <c r="G98" t="s">
        <v>44</v>
      </c>
      <c r="I98" t="s">
        <v>73</v>
      </c>
      <c r="K98" t="s">
        <v>443</v>
      </c>
    </row>
    <row r="99" spans="1:11" x14ac:dyDescent="0.25">
      <c r="A99" t="s">
        <v>60</v>
      </c>
      <c r="C99" s="1" t="s">
        <v>35</v>
      </c>
      <c r="E99" t="s">
        <v>473</v>
      </c>
      <c r="F99" t="s">
        <v>472</v>
      </c>
      <c r="G99" t="s">
        <v>12</v>
      </c>
      <c r="I99" t="s">
        <v>72</v>
      </c>
      <c r="K99" t="s">
        <v>444</v>
      </c>
    </row>
    <row r="100" spans="1:11" x14ac:dyDescent="0.25">
      <c r="A100" t="s">
        <v>60</v>
      </c>
      <c r="C100" s="1" t="s">
        <v>35</v>
      </c>
      <c r="E100" t="s">
        <v>488</v>
      </c>
      <c r="F100" t="s">
        <v>489</v>
      </c>
      <c r="G100" t="s">
        <v>44</v>
      </c>
      <c r="I100" t="s">
        <v>73</v>
      </c>
      <c r="K100" t="s">
        <v>445</v>
      </c>
    </row>
    <row r="101" spans="1:11" x14ac:dyDescent="0.25">
      <c r="A101" t="s">
        <v>60</v>
      </c>
      <c r="C101" s="1" t="s">
        <v>35</v>
      </c>
      <c r="E101" t="s">
        <v>490</v>
      </c>
      <c r="F101" t="s">
        <v>489</v>
      </c>
      <c r="G101" t="s">
        <v>12</v>
      </c>
      <c r="I101" t="s">
        <v>72</v>
      </c>
      <c r="K101" t="s">
        <v>446</v>
      </c>
    </row>
    <row r="102" spans="1:11" x14ac:dyDescent="0.25">
      <c r="A102" t="s">
        <v>60</v>
      </c>
      <c r="C102" s="1" t="s">
        <v>35</v>
      </c>
      <c r="E102" t="s">
        <v>493</v>
      </c>
      <c r="F102" t="s">
        <v>494</v>
      </c>
      <c r="G102" t="s">
        <v>44</v>
      </c>
      <c r="I102" t="s">
        <v>73</v>
      </c>
      <c r="K102" t="s">
        <v>447</v>
      </c>
    </row>
    <row r="103" spans="1:11" x14ac:dyDescent="0.25">
      <c r="A103" t="s">
        <v>60</v>
      </c>
      <c r="C103" s="1" t="s">
        <v>35</v>
      </c>
      <c r="E103" t="s">
        <v>495</v>
      </c>
      <c r="F103" t="s">
        <v>494</v>
      </c>
      <c r="G103" t="s">
        <v>12</v>
      </c>
      <c r="I103" t="s">
        <v>72</v>
      </c>
      <c r="K103" t="s">
        <v>448</v>
      </c>
    </row>
    <row r="104" spans="1:11" x14ac:dyDescent="0.25">
      <c r="A104" t="s">
        <v>60</v>
      </c>
      <c r="C104" s="1" t="s">
        <v>35</v>
      </c>
      <c r="E104" t="s">
        <v>498</v>
      </c>
      <c r="F104" t="s">
        <v>499</v>
      </c>
      <c r="G104" t="s">
        <v>44</v>
      </c>
      <c r="I104" t="s">
        <v>73</v>
      </c>
      <c r="K104" t="s">
        <v>449</v>
      </c>
    </row>
    <row r="105" spans="1:11" x14ac:dyDescent="0.25">
      <c r="A105" t="s">
        <v>60</v>
      </c>
      <c r="C105" s="1" t="s">
        <v>35</v>
      </c>
      <c r="E105" t="s">
        <v>500</v>
      </c>
      <c r="F105" t="s">
        <v>499</v>
      </c>
      <c r="G105" t="s">
        <v>12</v>
      </c>
      <c r="I105" t="s">
        <v>72</v>
      </c>
      <c r="K105" t="s">
        <v>450</v>
      </c>
    </row>
    <row r="106" spans="1:11" x14ac:dyDescent="0.25">
      <c r="A106" t="s">
        <v>60</v>
      </c>
      <c r="C106" s="1" t="s">
        <v>35</v>
      </c>
      <c r="E106" t="s">
        <v>503</v>
      </c>
      <c r="F106" t="s">
        <v>504</v>
      </c>
      <c r="G106" t="s">
        <v>44</v>
      </c>
      <c r="I106" t="s">
        <v>73</v>
      </c>
      <c r="K106" t="s">
        <v>451</v>
      </c>
    </row>
    <row r="107" spans="1:11" x14ac:dyDescent="0.25">
      <c r="A107" t="s">
        <v>60</v>
      </c>
      <c r="C107" s="1" t="s">
        <v>35</v>
      </c>
      <c r="E107" t="s">
        <v>505</v>
      </c>
      <c r="F107" t="s">
        <v>504</v>
      </c>
      <c r="G107" t="s">
        <v>12</v>
      </c>
      <c r="I107" t="s">
        <v>72</v>
      </c>
      <c r="K107" t="s">
        <v>452</v>
      </c>
    </row>
    <row r="108" spans="1:11" x14ac:dyDescent="0.25">
      <c r="A108" t="s">
        <v>60</v>
      </c>
      <c r="C108" s="1" t="s">
        <v>35</v>
      </c>
      <c r="E108" t="s">
        <v>508</v>
      </c>
      <c r="F108" t="s">
        <v>509</v>
      </c>
      <c r="G108" t="s">
        <v>44</v>
      </c>
      <c r="I108" t="s">
        <v>73</v>
      </c>
      <c r="K108" t="s">
        <v>453</v>
      </c>
    </row>
    <row r="109" spans="1:11" x14ac:dyDescent="0.25">
      <c r="A109" t="s">
        <v>60</v>
      </c>
      <c r="C109" s="1" t="s">
        <v>35</v>
      </c>
      <c r="E109" t="s">
        <v>510</v>
      </c>
      <c r="F109" t="s">
        <v>509</v>
      </c>
      <c r="G109" t="s">
        <v>12</v>
      </c>
      <c r="I109" t="s">
        <v>72</v>
      </c>
      <c r="K109" t="s">
        <v>454</v>
      </c>
    </row>
    <row r="110" spans="1:11" x14ac:dyDescent="0.25">
      <c r="A110" t="s">
        <v>60</v>
      </c>
      <c r="C110" s="1" t="s">
        <v>35</v>
      </c>
      <c r="E110" t="s">
        <v>513</v>
      </c>
      <c r="F110" t="s">
        <v>514</v>
      </c>
      <c r="G110" t="s">
        <v>44</v>
      </c>
      <c r="I110" t="s">
        <v>73</v>
      </c>
      <c r="K110" t="s">
        <v>455</v>
      </c>
    </row>
    <row r="111" spans="1:11" x14ac:dyDescent="0.25">
      <c r="A111" t="s">
        <v>60</v>
      </c>
      <c r="C111" s="1" t="s">
        <v>35</v>
      </c>
      <c r="E111" t="s">
        <v>515</v>
      </c>
      <c r="F111" t="s">
        <v>514</v>
      </c>
      <c r="G111" t="s">
        <v>12</v>
      </c>
      <c r="I111" t="s">
        <v>72</v>
      </c>
      <c r="K111" t="s">
        <v>459</v>
      </c>
    </row>
    <row r="112" spans="1:11" x14ac:dyDescent="0.25">
      <c r="A112" t="s">
        <v>60</v>
      </c>
      <c r="C112" s="1" t="s">
        <v>35</v>
      </c>
      <c r="E112" t="s">
        <v>518</v>
      </c>
      <c r="F112" t="s">
        <v>519</v>
      </c>
      <c r="G112" t="s">
        <v>44</v>
      </c>
      <c r="I112" t="s">
        <v>73</v>
      </c>
      <c r="K112" t="s">
        <v>460</v>
      </c>
    </row>
    <row r="113" spans="1:11" x14ac:dyDescent="0.25">
      <c r="A113" t="s">
        <v>60</v>
      </c>
      <c r="C113" s="1" t="s">
        <v>35</v>
      </c>
      <c r="E113" t="s">
        <v>520</v>
      </c>
      <c r="F113" t="s">
        <v>519</v>
      </c>
      <c r="G113" t="s">
        <v>12</v>
      </c>
      <c r="I113" t="s">
        <v>72</v>
      </c>
      <c r="K113" t="s">
        <v>464</v>
      </c>
    </row>
    <row r="114" spans="1:11" x14ac:dyDescent="0.25">
      <c r="A114" t="s">
        <v>60</v>
      </c>
      <c r="C114" s="1" t="s">
        <v>35</v>
      </c>
      <c r="E114" t="s">
        <v>521</v>
      </c>
      <c r="F114" t="s">
        <v>522</v>
      </c>
      <c r="G114" t="s">
        <v>44</v>
      </c>
      <c r="I114" t="s">
        <v>73</v>
      </c>
      <c r="K114" t="s">
        <v>465</v>
      </c>
    </row>
    <row r="115" spans="1:11" x14ac:dyDescent="0.25">
      <c r="A115" t="s">
        <v>60</v>
      </c>
      <c r="C115" s="1" t="s">
        <v>35</v>
      </c>
      <c r="E115" t="s">
        <v>523</v>
      </c>
      <c r="F115" t="s">
        <v>522</v>
      </c>
      <c r="G115" t="s">
        <v>12</v>
      </c>
      <c r="I115" t="s">
        <v>72</v>
      </c>
      <c r="K115" t="s">
        <v>469</v>
      </c>
    </row>
    <row r="116" spans="1:11" x14ac:dyDescent="0.25">
      <c r="A116" t="s">
        <v>61</v>
      </c>
      <c r="C116" s="1" t="s">
        <v>35</v>
      </c>
      <c r="E116" t="s">
        <v>524</v>
      </c>
      <c r="F116" t="s">
        <v>525</v>
      </c>
      <c r="G116" t="s">
        <v>44</v>
      </c>
      <c r="I116" t="s">
        <v>73</v>
      </c>
      <c r="K116" t="s">
        <v>470</v>
      </c>
    </row>
    <row r="117" spans="1:11" x14ac:dyDescent="0.25">
      <c r="A117" t="s">
        <v>61</v>
      </c>
      <c r="C117" s="1" t="s">
        <v>35</v>
      </c>
      <c r="E117" t="s">
        <v>526</v>
      </c>
      <c r="F117" t="s">
        <v>527</v>
      </c>
      <c r="G117" t="s">
        <v>44</v>
      </c>
      <c r="I117" t="s">
        <v>73</v>
      </c>
      <c r="K117" t="s">
        <v>474</v>
      </c>
    </row>
    <row r="118" spans="1:11" x14ac:dyDescent="0.25">
      <c r="A118" t="s">
        <v>61</v>
      </c>
      <c r="C118" s="1" t="s">
        <v>35</v>
      </c>
      <c r="E118" t="s">
        <v>528</v>
      </c>
      <c r="F118" t="s">
        <v>529</v>
      </c>
      <c r="G118" t="s">
        <v>44</v>
      </c>
      <c r="I118" t="s">
        <v>73</v>
      </c>
      <c r="K118" t="s">
        <v>475</v>
      </c>
    </row>
    <row r="119" spans="1:11" x14ac:dyDescent="0.25">
      <c r="A119" t="s">
        <v>61</v>
      </c>
      <c r="C119" s="1" t="s">
        <v>35</v>
      </c>
      <c r="E119" t="s">
        <v>530</v>
      </c>
      <c r="F119" t="s">
        <v>531</v>
      </c>
      <c r="G119" t="s">
        <v>44</v>
      </c>
      <c r="I119" t="s">
        <v>73</v>
      </c>
      <c r="K119" t="s">
        <v>476</v>
      </c>
    </row>
    <row r="120" spans="1:11" x14ac:dyDescent="0.25">
      <c r="A120" t="s">
        <v>61</v>
      </c>
      <c r="C120" s="1" t="s">
        <v>35</v>
      </c>
      <c r="E120" t="s">
        <v>532</v>
      </c>
      <c r="F120" t="s">
        <v>533</v>
      </c>
      <c r="G120" t="s">
        <v>44</v>
      </c>
      <c r="I120" t="s">
        <v>73</v>
      </c>
      <c r="K120" t="s">
        <v>477</v>
      </c>
    </row>
    <row r="121" spans="1:11" x14ac:dyDescent="0.25">
      <c r="A121" t="s">
        <v>61</v>
      </c>
      <c r="C121" s="1" t="s">
        <v>35</v>
      </c>
      <c r="E121" t="s">
        <v>534</v>
      </c>
      <c r="F121" t="s">
        <v>535</v>
      </c>
      <c r="G121" t="s">
        <v>44</v>
      </c>
      <c r="I121" t="s">
        <v>73</v>
      </c>
      <c r="K121" t="s">
        <v>478</v>
      </c>
    </row>
    <row r="122" spans="1:11" x14ac:dyDescent="0.25">
      <c r="A122" t="s">
        <v>61</v>
      </c>
      <c r="C122" s="1" t="s">
        <v>35</v>
      </c>
      <c r="E122" t="s">
        <v>536</v>
      </c>
      <c r="F122" t="s">
        <v>537</v>
      </c>
      <c r="G122" t="s">
        <v>44</v>
      </c>
      <c r="I122" t="s">
        <v>73</v>
      </c>
      <c r="K122" t="s">
        <v>479</v>
      </c>
    </row>
    <row r="123" spans="1:11" x14ac:dyDescent="0.25">
      <c r="A123" t="s">
        <v>61</v>
      </c>
      <c r="C123" s="1" t="s">
        <v>35</v>
      </c>
      <c r="E123" t="s">
        <v>538</v>
      </c>
      <c r="F123" t="s">
        <v>539</v>
      </c>
      <c r="G123" t="s">
        <v>44</v>
      </c>
      <c r="I123" t="s">
        <v>73</v>
      </c>
      <c r="K123" t="s">
        <v>480</v>
      </c>
    </row>
    <row r="124" spans="1:11" x14ac:dyDescent="0.25">
      <c r="A124" t="s">
        <v>61</v>
      </c>
      <c r="C124" s="1" t="s">
        <v>35</v>
      </c>
      <c r="E124" t="s">
        <v>540</v>
      </c>
      <c r="F124" t="s">
        <v>541</v>
      </c>
      <c r="G124" t="s">
        <v>44</v>
      </c>
      <c r="I124" t="s">
        <v>73</v>
      </c>
      <c r="K124" t="s">
        <v>481</v>
      </c>
    </row>
    <row r="125" spans="1:11" x14ac:dyDescent="0.25">
      <c r="A125" t="s">
        <v>61</v>
      </c>
      <c r="C125" s="1" t="s">
        <v>35</v>
      </c>
      <c r="E125" t="s">
        <v>542</v>
      </c>
      <c r="F125" t="s">
        <v>543</v>
      </c>
      <c r="G125" t="s">
        <v>44</v>
      </c>
      <c r="I125" t="s">
        <v>73</v>
      </c>
      <c r="K125" t="s">
        <v>482</v>
      </c>
    </row>
    <row r="126" spans="1:11" x14ac:dyDescent="0.25">
      <c r="A126" t="s">
        <v>61</v>
      </c>
      <c r="C126" s="1" t="s">
        <v>35</v>
      </c>
      <c r="E126" t="s">
        <v>544</v>
      </c>
      <c r="F126" t="s">
        <v>545</v>
      </c>
      <c r="G126" t="s">
        <v>44</v>
      </c>
      <c r="I126" t="s">
        <v>73</v>
      </c>
      <c r="K126" t="s">
        <v>483</v>
      </c>
    </row>
    <row r="127" spans="1:11" x14ac:dyDescent="0.25">
      <c r="A127" t="s">
        <v>62</v>
      </c>
      <c r="C127" s="1" t="s">
        <v>35</v>
      </c>
      <c r="E127" t="s">
        <v>546</v>
      </c>
      <c r="F127" t="s">
        <v>547</v>
      </c>
      <c r="G127" t="s">
        <v>63</v>
      </c>
      <c r="I127" t="s">
        <v>72</v>
      </c>
      <c r="K127" t="s">
        <v>484</v>
      </c>
    </row>
    <row r="128" spans="1:11" x14ac:dyDescent="0.25">
      <c r="A128" t="s">
        <v>62</v>
      </c>
      <c r="C128" s="1" t="s">
        <v>35</v>
      </c>
      <c r="E128" t="s">
        <v>548</v>
      </c>
      <c r="F128" t="s">
        <v>549</v>
      </c>
      <c r="G128" t="s">
        <v>63</v>
      </c>
      <c r="I128" t="s">
        <v>72</v>
      </c>
      <c r="K128" t="s">
        <v>485</v>
      </c>
    </row>
    <row r="129" spans="1:11" x14ac:dyDescent="0.25">
      <c r="A129" t="s">
        <v>62</v>
      </c>
      <c r="C129" s="1" t="s">
        <v>35</v>
      </c>
      <c r="E129" t="s">
        <v>550</v>
      </c>
      <c r="F129" t="s">
        <v>551</v>
      </c>
      <c r="G129" t="s">
        <v>63</v>
      </c>
      <c r="I129" t="s">
        <v>72</v>
      </c>
      <c r="K129" t="s">
        <v>486</v>
      </c>
    </row>
    <row r="130" spans="1:11" x14ac:dyDescent="0.25">
      <c r="A130" t="s">
        <v>62</v>
      </c>
      <c r="C130" s="1" t="s">
        <v>35</v>
      </c>
      <c r="E130" t="s">
        <v>552</v>
      </c>
      <c r="F130" t="s">
        <v>553</v>
      </c>
      <c r="G130" t="s">
        <v>63</v>
      </c>
      <c r="I130" t="s">
        <v>72</v>
      </c>
      <c r="K130" t="s">
        <v>487</v>
      </c>
    </row>
    <row r="131" spans="1:11" x14ac:dyDescent="0.25">
      <c r="A131" t="s">
        <v>62</v>
      </c>
      <c r="C131" s="1" t="s">
        <v>35</v>
      </c>
      <c r="E131" t="s">
        <v>554</v>
      </c>
      <c r="F131" t="s">
        <v>555</v>
      </c>
      <c r="G131" t="s">
        <v>63</v>
      </c>
      <c r="I131" t="s">
        <v>72</v>
      </c>
      <c r="K131" t="s">
        <v>491</v>
      </c>
    </row>
    <row r="132" spans="1:11" x14ac:dyDescent="0.25">
      <c r="A132" t="s">
        <v>62</v>
      </c>
      <c r="C132" s="1" t="s">
        <v>35</v>
      </c>
      <c r="E132" t="s">
        <v>556</v>
      </c>
      <c r="F132" t="s">
        <v>557</v>
      </c>
      <c r="G132" t="s">
        <v>63</v>
      </c>
      <c r="I132" t="s">
        <v>72</v>
      </c>
      <c r="K132" t="s">
        <v>492</v>
      </c>
    </row>
    <row r="133" spans="1:11" x14ac:dyDescent="0.25">
      <c r="A133" t="s">
        <v>62</v>
      </c>
      <c r="C133" s="1" t="s">
        <v>35</v>
      </c>
      <c r="E133" t="s">
        <v>558</v>
      </c>
      <c r="F133" t="s">
        <v>559</v>
      </c>
      <c r="G133" t="s">
        <v>63</v>
      </c>
      <c r="I133" t="s">
        <v>72</v>
      </c>
      <c r="K133" t="s">
        <v>496</v>
      </c>
    </row>
    <row r="134" spans="1:11" x14ac:dyDescent="0.25">
      <c r="A134" t="s">
        <v>62</v>
      </c>
      <c r="C134" s="1" t="s">
        <v>35</v>
      </c>
      <c r="E134" t="s">
        <v>560</v>
      </c>
      <c r="F134" t="s">
        <v>561</v>
      </c>
      <c r="G134" t="s">
        <v>63</v>
      </c>
      <c r="I134" t="s">
        <v>72</v>
      </c>
      <c r="K134" t="s">
        <v>497</v>
      </c>
    </row>
    <row r="135" spans="1:11" x14ac:dyDescent="0.25">
      <c r="A135" t="s">
        <v>62</v>
      </c>
      <c r="C135" s="1" t="s">
        <v>35</v>
      </c>
      <c r="E135" t="s">
        <v>562</v>
      </c>
      <c r="F135" t="s">
        <v>563</v>
      </c>
      <c r="G135" t="s">
        <v>63</v>
      </c>
      <c r="I135" t="s">
        <v>72</v>
      </c>
      <c r="K135" t="s">
        <v>501</v>
      </c>
    </row>
    <row r="136" spans="1:11" x14ac:dyDescent="0.25">
      <c r="A136" t="s">
        <v>62</v>
      </c>
      <c r="C136" s="1" t="s">
        <v>35</v>
      </c>
      <c r="E136" t="s">
        <v>564</v>
      </c>
      <c r="F136" t="s">
        <v>565</v>
      </c>
      <c r="G136" t="s">
        <v>63</v>
      </c>
      <c r="I136" t="s">
        <v>72</v>
      </c>
      <c r="K136" t="s">
        <v>502</v>
      </c>
    </row>
    <row r="137" spans="1:11" x14ac:dyDescent="0.25">
      <c r="A137" t="s">
        <v>62</v>
      </c>
      <c r="C137" s="1" t="s">
        <v>35</v>
      </c>
      <c r="E137" t="s">
        <v>566</v>
      </c>
      <c r="F137" t="s">
        <v>567</v>
      </c>
      <c r="G137" t="s">
        <v>63</v>
      </c>
      <c r="I137" t="s">
        <v>72</v>
      </c>
      <c r="K137" t="s">
        <v>506</v>
      </c>
    </row>
    <row r="138" spans="1:11" x14ac:dyDescent="0.25">
      <c r="A138" t="s">
        <v>62</v>
      </c>
      <c r="C138" s="1" t="s">
        <v>35</v>
      </c>
      <c r="E138" t="s">
        <v>568</v>
      </c>
      <c r="F138" t="s">
        <v>569</v>
      </c>
      <c r="G138" t="s">
        <v>63</v>
      </c>
      <c r="I138" t="s">
        <v>72</v>
      </c>
      <c r="K138" t="s">
        <v>507</v>
      </c>
    </row>
    <row r="139" spans="1:11" x14ac:dyDescent="0.25">
      <c r="A139" t="s">
        <v>65</v>
      </c>
      <c r="C139" s="1" t="s">
        <v>35</v>
      </c>
      <c r="E139" t="s">
        <v>570</v>
      </c>
      <c r="F139" t="s">
        <v>571</v>
      </c>
      <c r="G139" t="s">
        <v>66</v>
      </c>
      <c r="I139" t="s">
        <v>74</v>
      </c>
      <c r="K139" t="s">
        <v>511</v>
      </c>
    </row>
    <row r="140" spans="1:11" x14ac:dyDescent="0.25">
      <c r="A140" t="s">
        <v>65</v>
      </c>
      <c r="C140" s="1" t="s">
        <v>35</v>
      </c>
      <c r="E140" t="s">
        <v>572</v>
      </c>
      <c r="F140" t="s">
        <v>573</v>
      </c>
      <c r="G140" t="s">
        <v>66</v>
      </c>
      <c r="I140" t="s">
        <v>74</v>
      </c>
      <c r="K140" t="s">
        <v>512</v>
      </c>
    </row>
    <row r="141" spans="1:11" x14ac:dyDescent="0.25">
      <c r="A141" t="s">
        <v>65</v>
      </c>
      <c r="C141" s="1" t="s">
        <v>35</v>
      </c>
      <c r="E141" t="s">
        <v>574</v>
      </c>
      <c r="F141" t="s">
        <v>575</v>
      </c>
      <c r="G141" t="s">
        <v>66</v>
      </c>
      <c r="I141" t="s">
        <v>74</v>
      </c>
      <c r="K141" t="s">
        <v>516</v>
      </c>
    </row>
    <row r="142" spans="1:11" x14ac:dyDescent="0.25">
      <c r="A142" t="s">
        <v>65</v>
      </c>
      <c r="C142" s="1" t="s">
        <v>35</v>
      </c>
      <c r="E142" t="s">
        <v>576</v>
      </c>
      <c r="F142" t="s">
        <v>577</v>
      </c>
      <c r="G142" t="s">
        <v>66</v>
      </c>
      <c r="I142" t="s">
        <v>74</v>
      </c>
      <c r="K142" t="s">
        <v>517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FBD6CF-441F-4D23-B954-570CAC0C3B99}">
  <sheetPr codeName="Sheet8"/>
  <dimension ref="A1:K23"/>
  <sheetViews>
    <sheetView workbookViewId="0">
      <pane ySplit="1" topLeftCell="A2" activePane="bottomLeft" state="frozen"/>
      <selection pane="bottomLeft" activeCell="I2" sqref="I2"/>
    </sheetView>
  </sheetViews>
  <sheetFormatPr defaultRowHeight="15" x14ac:dyDescent="0.25"/>
  <cols>
    <col min="1" max="1" width="13.28515625" customWidth="1"/>
    <col min="2" max="2" width="3" customWidth="1"/>
    <col min="3" max="3" width="5.28515625" style="1" bestFit="1" customWidth="1"/>
    <col min="4" max="4" width="6.7109375" style="1" bestFit="1" customWidth="1"/>
    <col min="5" max="5" width="24.7109375" bestFit="1" customWidth="1"/>
    <col min="6" max="6" width="25.5703125" bestFit="1" customWidth="1"/>
    <col min="7" max="7" width="12.42578125" bestFit="1" customWidth="1"/>
    <col min="8" max="8" width="9.5703125" bestFit="1" customWidth="1"/>
    <col min="9" max="9" width="11.5703125" bestFit="1" customWidth="1"/>
    <col min="10" max="10" width="2.5703125" customWidth="1"/>
    <col min="11" max="11" width="10.5703125" bestFit="1" customWidth="1"/>
  </cols>
  <sheetData>
    <row r="1" spans="1:11" x14ac:dyDescent="0.25">
      <c r="A1" s="3" t="s">
        <v>25</v>
      </c>
      <c r="C1" s="3" t="s">
        <v>28</v>
      </c>
      <c r="D1" s="3" t="s">
        <v>29</v>
      </c>
      <c r="E1" s="3" t="s">
        <v>30</v>
      </c>
      <c r="F1" s="3" t="s">
        <v>31</v>
      </c>
      <c r="G1" s="3" t="s">
        <v>32</v>
      </c>
      <c r="H1" s="3" t="s">
        <v>33</v>
      </c>
      <c r="I1" s="3" t="s">
        <v>34</v>
      </c>
      <c r="K1" s="3" t="s">
        <v>27</v>
      </c>
    </row>
    <row r="2" spans="1:11" x14ac:dyDescent="0.25">
      <c r="A2" t="s">
        <v>67</v>
      </c>
      <c r="C2" s="1" t="s">
        <v>35</v>
      </c>
      <c r="E2" t="s">
        <v>578</v>
      </c>
      <c r="F2" t="s">
        <v>100</v>
      </c>
      <c r="G2" t="s">
        <v>76</v>
      </c>
      <c r="I2" t="s">
        <v>72</v>
      </c>
      <c r="K2" t="s">
        <v>579</v>
      </c>
    </row>
    <row r="3" spans="1:11" x14ac:dyDescent="0.25">
      <c r="A3" t="s">
        <v>67</v>
      </c>
      <c r="C3" s="1" t="s">
        <v>35</v>
      </c>
      <c r="E3" t="s">
        <v>580</v>
      </c>
      <c r="F3" t="s">
        <v>100</v>
      </c>
      <c r="G3" t="s">
        <v>13</v>
      </c>
      <c r="I3" t="s">
        <v>72</v>
      </c>
      <c r="K3" t="s">
        <v>581</v>
      </c>
    </row>
    <row r="4" spans="1:11" x14ac:dyDescent="0.25">
      <c r="A4" t="s">
        <v>67</v>
      </c>
      <c r="C4" s="1" t="s">
        <v>35</v>
      </c>
      <c r="E4" t="s">
        <v>582</v>
      </c>
      <c r="F4" t="s">
        <v>102</v>
      </c>
      <c r="G4" t="s">
        <v>22</v>
      </c>
      <c r="I4" t="s">
        <v>72</v>
      </c>
      <c r="K4" t="s">
        <v>583</v>
      </c>
    </row>
    <row r="5" spans="1:11" x14ac:dyDescent="0.25">
      <c r="A5" t="s">
        <v>67</v>
      </c>
      <c r="C5" s="1" t="s">
        <v>35</v>
      </c>
      <c r="E5" t="s">
        <v>584</v>
      </c>
      <c r="F5" t="s">
        <v>106</v>
      </c>
      <c r="G5" t="s">
        <v>76</v>
      </c>
      <c r="I5" t="s">
        <v>72</v>
      </c>
      <c r="K5" t="s">
        <v>585</v>
      </c>
    </row>
    <row r="6" spans="1:11" x14ac:dyDescent="0.25">
      <c r="A6" t="s">
        <v>67</v>
      </c>
      <c r="C6" s="1" t="s">
        <v>35</v>
      </c>
      <c r="E6" t="s">
        <v>586</v>
      </c>
      <c r="F6" t="s">
        <v>106</v>
      </c>
      <c r="G6" t="s">
        <v>13</v>
      </c>
      <c r="I6" t="s">
        <v>72</v>
      </c>
      <c r="K6" t="s">
        <v>587</v>
      </c>
    </row>
    <row r="7" spans="1:11" x14ac:dyDescent="0.25">
      <c r="A7" t="s">
        <v>67</v>
      </c>
      <c r="C7" s="1" t="s">
        <v>35</v>
      </c>
      <c r="E7" t="s">
        <v>588</v>
      </c>
      <c r="F7" t="s">
        <v>107</v>
      </c>
      <c r="G7" t="s">
        <v>22</v>
      </c>
      <c r="I7" t="s">
        <v>72</v>
      </c>
      <c r="K7" t="s">
        <v>589</v>
      </c>
    </row>
    <row r="8" spans="1:11" x14ac:dyDescent="0.25">
      <c r="A8" t="s">
        <v>67</v>
      </c>
      <c r="C8" s="1" t="s">
        <v>35</v>
      </c>
      <c r="E8" t="s">
        <v>590</v>
      </c>
      <c r="F8" t="s">
        <v>108</v>
      </c>
      <c r="G8" t="s">
        <v>76</v>
      </c>
      <c r="I8" t="s">
        <v>72</v>
      </c>
      <c r="K8" t="s">
        <v>591</v>
      </c>
    </row>
    <row r="9" spans="1:11" x14ac:dyDescent="0.25">
      <c r="A9" t="s">
        <v>67</v>
      </c>
      <c r="C9" s="1" t="s">
        <v>35</v>
      </c>
      <c r="E9" t="s">
        <v>592</v>
      </c>
      <c r="F9" t="s">
        <v>108</v>
      </c>
      <c r="G9" t="s">
        <v>13</v>
      </c>
      <c r="I9" t="s">
        <v>72</v>
      </c>
      <c r="K9" t="s">
        <v>593</v>
      </c>
    </row>
    <row r="10" spans="1:11" x14ac:dyDescent="0.25">
      <c r="A10" t="s">
        <v>67</v>
      </c>
      <c r="C10" s="1" t="s">
        <v>35</v>
      </c>
      <c r="E10" t="s">
        <v>594</v>
      </c>
      <c r="F10" t="s">
        <v>109</v>
      </c>
      <c r="G10" t="s">
        <v>22</v>
      </c>
      <c r="I10" t="s">
        <v>72</v>
      </c>
      <c r="K10" t="s">
        <v>595</v>
      </c>
    </row>
    <row r="11" spans="1:11" x14ac:dyDescent="0.25">
      <c r="A11" t="s">
        <v>67</v>
      </c>
      <c r="C11" s="1" t="s">
        <v>35</v>
      </c>
      <c r="E11" t="s">
        <v>596</v>
      </c>
      <c r="F11" t="s">
        <v>112</v>
      </c>
      <c r="G11" t="s">
        <v>13</v>
      </c>
      <c r="I11" t="s">
        <v>72</v>
      </c>
      <c r="K11" t="s">
        <v>597</v>
      </c>
    </row>
    <row r="12" spans="1:11" x14ac:dyDescent="0.25">
      <c r="A12" t="s">
        <v>67</v>
      </c>
      <c r="C12" s="1" t="s">
        <v>35</v>
      </c>
      <c r="E12" t="s">
        <v>598</v>
      </c>
      <c r="F12" t="s">
        <v>113</v>
      </c>
      <c r="G12" t="s">
        <v>114</v>
      </c>
      <c r="I12" t="s">
        <v>72</v>
      </c>
    </row>
    <row r="13" spans="1:11" x14ac:dyDescent="0.25">
      <c r="A13" t="s">
        <v>67</v>
      </c>
      <c r="C13" s="1" t="s">
        <v>35</v>
      </c>
      <c r="E13" t="s">
        <v>599</v>
      </c>
      <c r="F13" t="s">
        <v>113</v>
      </c>
      <c r="G13" t="s">
        <v>115</v>
      </c>
      <c r="I13" t="s">
        <v>72</v>
      </c>
    </row>
    <row r="14" spans="1:11" x14ac:dyDescent="0.25">
      <c r="A14" t="s">
        <v>67</v>
      </c>
      <c r="C14" s="1" t="s">
        <v>35</v>
      </c>
      <c r="E14" t="s">
        <v>600</v>
      </c>
      <c r="F14" t="s">
        <v>102</v>
      </c>
      <c r="G14" t="s">
        <v>14</v>
      </c>
      <c r="I14" t="s">
        <v>72</v>
      </c>
      <c r="K14" t="s">
        <v>601</v>
      </c>
    </row>
    <row r="15" spans="1:11" x14ac:dyDescent="0.25">
      <c r="A15" t="s">
        <v>67</v>
      </c>
      <c r="C15" s="1" t="s">
        <v>35</v>
      </c>
      <c r="E15" t="s">
        <v>602</v>
      </c>
      <c r="F15" t="s">
        <v>111</v>
      </c>
      <c r="G15" t="s">
        <v>14</v>
      </c>
      <c r="I15" t="s">
        <v>72</v>
      </c>
      <c r="K15" t="s">
        <v>603</v>
      </c>
    </row>
    <row r="16" spans="1:11" x14ac:dyDescent="0.25">
      <c r="A16" t="s">
        <v>67</v>
      </c>
      <c r="C16" s="1" t="s">
        <v>35</v>
      </c>
      <c r="E16" t="s">
        <v>604</v>
      </c>
      <c r="F16" t="s">
        <v>116</v>
      </c>
      <c r="G16" t="s">
        <v>14</v>
      </c>
      <c r="I16" t="s">
        <v>72</v>
      </c>
      <c r="K16" t="s">
        <v>605</v>
      </c>
    </row>
    <row r="17" spans="1:11" x14ac:dyDescent="0.25">
      <c r="A17" t="s">
        <v>67</v>
      </c>
      <c r="C17" s="1" t="s">
        <v>35</v>
      </c>
      <c r="E17" t="s">
        <v>606</v>
      </c>
      <c r="F17" t="s">
        <v>116</v>
      </c>
      <c r="G17" t="s">
        <v>14</v>
      </c>
      <c r="I17" t="s">
        <v>72</v>
      </c>
      <c r="K17" t="s">
        <v>607</v>
      </c>
    </row>
    <row r="18" spans="1:11" x14ac:dyDescent="0.25">
      <c r="A18" t="s">
        <v>67</v>
      </c>
      <c r="C18" s="1" t="s">
        <v>35</v>
      </c>
      <c r="E18" t="s">
        <v>608</v>
      </c>
      <c r="F18" t="s">
        <v>116</v>
      </c>
      <c r="G18" t="s">
        <v>14</v>
      </c>
      <c r="I18" t="s">
        <v>72</v>
      </c>
      <c r="K18" t="s">
        <v>609</v>
      </c>
    </row>
    <row r="19" spans="1:11" x14ac:dyDescent="0.25">
      <c r="A19" t="s">
        <v>67</v>
      </c>
      <c r="C19" s="1" t="s">
        <v>35</v>
      </c>
      <c r="E19" t="s">
        <v>610</v>
      </c>
      <c r="F19" t="s">
        <v>116</v>
      </c>
      <c r="G19" t="s">
        <v>14</v>
      </c>
      <c r="I19" t="s">
        <v>72</v>
      </c>
      <c r="K19" t="s">
        <v>611</v>
      </c>
    </row>
    <row r="20" spans="1:11" x14ac:dyDescent="0.25">
      <c r="A20" t="s">
        <v>67</v>
      </c>
      <c r="C20" s="1" t="s">
        <v>35</v>
      </c>
      <c r="E20" t="s">
        <v>612</v>
      </c>
      <c r="F20" t="s">
        <v>107</v>
      </c>
      <c r="G20" t="s">
        <v>14</v>
      </c>
      <c r="I20" t="s">
        <v>72</v>
      </c>
      <c r="K20" t="s">
        <v>613</v>
      </c>
    </row>
    <row r="21" spans="1:11" x14ac:dyDescent="0.25">
      <c r="A21" t="s">
        <v>67</v>
      </c>
      <c r="C21" s="1" t="s">
        <v>35</v>
      </c>
      <c r="E21" t="s">
        <v>614</v>
      </c>
      <c r="F21" t="s">
        <v>112</v>
      </c>
      <c r="G21" t="s">
        <v>14</v>
      </c>
      <c r="I21" t="s">
        <v>72</v>
      </c>
      <c r="K21" t="s">
        <v>615</v>
      </c>
    </row>
    <row r="22" spans="1:11" x14ac:dyDescent="0.25">
      <c r="A22" t="s">
        <v>67</v>
      </c>
      <c r="C22" s="1" t="s">
        <v>35</v>
      </c>
      <c r="E22" t="s">
        <v>616</v>
      </c>
      <c r="F22" t="s">
        <v>109</v>
      </c>
      <c r="G22" t="s">
        <v>14</v>
      </c>
      <c r="I22" t="s">
        <v>72</v>
      </c>
      <c r="K22" t="s">
        <v>617</v>
      </c>
    </row>
    <row r="23" spans="1:11" x14ac:dyDescent="0.25">
      <c r="A23" t="s">
        <v>67</v>
      </c>
      <c r="C23" s="1" t="s">
        <v>35</v>
      </c>
      <c r="E23" t="s">
        <v>618</v>
      </c>
      <c r="F23" t="s">
        <v>110</v>
      </c>
      <c r="G23" t="s">
        <v>22</v>
      </c>
      <c r="I23" t="s">
        <v>72</v>
      </c>
      <c r="K23" t="s">
        <v>619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E115C-6E6B-4DB7-B928-635153B83BD0}">
  <sheetPr codeName="Sheet12"/>
  <dimension ref="A1:I1"/>
  <sheetViews>
    <sheetView workbookViewId="0">
      <pane ySplit="1" topLeftCell="A2" activePane="bottomLeft" state="frozen"/>
      <selection activeCell="I2" sqref="I2"/>
      <selection pane="bottomLeft" activeCell="I2" sqref="I2"/>
    </sheetView>
  </sheetViews>
  <sheetFormatPr defaultRowHeight="15" x14ac:dyDescent="0.25"/>
  <cols>
    <col min="5" max="5" width="21.5703125" customWidth="1"/>
    <col min="6" max="6" width="38.140625" customWidth="1"/>
    <col min="7" max="7" width="16.5703125" bestFit="1" customWidth="1"/>
    <col min="8" max="8" width="9.5703125" bestFit="1" customWidth="1"/>
    <col min="9" max="9" width="11.5703125" bestFit="1" customWidth="1"/>
  </cols>
  <sheetData>
    <row r="1" spans="1:9" x14ac:dyDescent="0.25">
      <c r="A1" s="3" t="s">
        <v>25</v>
      </c>
      <c r="C1" s="3" t="s">
        <v>28</v>
      </c>
      <c r="D1" s="3" t="s">
        <v>29</v>
      </c>
      <c r="E1" s="3" t="s">
        <v>30</v>
      </c>
      <c r="F1" s="3" t="s">
        <v>31</v>
      </c>
      <c r="G1" s="3" t="s">
        <v>32</v>
      </c>
      <c r="H1" s="3" t="s">
        <v>33</v>
      </c>
      <c r="I1" s="3" t="s">
        <v>34</v>
      </c>
    </row>
  </sheetData>
  <phoneticPr fontId="2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04F62F-0662-49FA-9361-9580582528F8}">
  <sheetPr codeName="Sheet9"/>
  <dimension ref="B1:AG56"/>
  <sheetViews>
    <sheetView zoomScaleNormal="100" workbookViewId="0">
      <pane ySplit="5" topLeftCell="A6" activePane="bottomLeft" state="frozen"/>
      <selection pane="bottomLeft" activeCell="H12" sqref="H12"/>
    </sheetView>
  </sheetViews>
  <sheetFormatPr defaultRowHeight="15" x14ac:dyDescent="0.25"/>
  <cols>
    <col min="2" max="2" width="10.85546875" bestFit="1" customWidth="1"/>
    <col min="3" max="3" width="6.28515625" customWidth="1"/>
    <col min="6" max="6" width="32.5703125" bestFit="1" customWidth="1"/>
    <col min="7" max="7" width="27.42578125" bestFit="1" customWidth="1"/>
    <col min="8" max="8" width="10.7109375" bestFit="1" customWidth="1"/>
    <col min="11" max="11" width="121.85546875" customWidth="1"/>
    <col min="33" max="33" width="68.28515625" customWidth="1"/>
  </cols>
  <sheetData>
    <row r="1" spans="2:10" x14ac:dyDescent="0.25">
      <c r="B1" s="23" t="s">
        <v>0</v>
      </c>
      <c r="C1" s="23" t="s">
        <v>1</v>
      </c>
      <c r="D1" s="23" t="s">
        <v>1163</v>
      </c>
      <c r="E1" s="23" t="s">
        <v>3</v>
      </c>
      <c r="F1" s="23" t="s">
        <v>9</v>
      </c>
      <c r="G1" s="23" t="s">
        <v>1164</v>
      </c>
      <c r="H1" s="23" t="s">
        <v>1164</v>
      </c>
      <c r="I1" s="23"/>
      <c r="J1" s="23" t="s">
        <v>11</v>
      </c>
    </row>
    <row r="2" spans="2:10" x14ac:dyDescent="0.25">
      <c r="B2" s="23"/>
      <c r="C2" s="23"/>
      <c r="D2" s="23"/>
      <c r="E2" s="23"/>
      <c r="F2" s="23"/>
      <c r="G2" s="23"/>
      <c r="H2" s="23"/>
      <c r="I2" s="23"/>
      <c r="J2" s="23"/>
    </row>
    <row r="3" spans="2:10" x14ac:dyDescent="0.25">
      <c r="B3" s="23"/>
      <c r="C3" s="23"/>
      <c r="D3" s="23"/>
      <c r="E3" s="23"/>
      <c r="F3" s="23"/>
      <c r="G3" s="23"/>
      <c r="H3" s="23"/>
      <c r="I3" s="23"/>
      <c r="J3" s="23"/>
    </row>
    <row r="4" spans="2:10" x14ac:dyDescent="0.25">
      <c r="B4" t="s">
        <v>4</v>
      </c>
      <c r="C4" s="1">
        <v>6</v>
      </c>
      <c r="D4" s="1">
        <v>0</v>
      </c>
      <c r="E4" t="s">
        <v>1166</v>
      </c>
      <c r="F4" t="s">
        <v>1165</v>
      </c>
      <c r="G4" t="s">
        <v>625</v>
      </c>
      <c r="H4" t="s">
        <v>633</v>
      </c>
      <c r="J4" t="s">
        <v>993</v>
      </c>
    </row>
    <row r="5" spans="2:10" x14ac:dyDescent="0.25">
      <c r="C5" s="1"/>
      <c r="D5" s="1"/>
    </row>
    <row r="10" spans="2:10" x14ac:dyDescent="0.25">
      <c r="B10" t="s">
        <v>1018</v>
      </c>
      <c r="C10" t="str">
        <f>IF(B4 = "P2P", "Not Needed Yet", IF(B4 = "Dummy P2P", IF(E4 = "DI", IF(J4 = "fbDigital", _xlfn.CONCAT("fbDigital ", F4, " ", F4, ".i_Raw"), _xlfn.CONCAT("XIC Always_False OTE ", F4)), IF(E4 = "DO", _xlfn.CONCAT("XIC ", F4, " OTE Communication_Command_"), IF(E4 = "AI", IF(J4 = "fbAnalog", "fbAnalog Condition", "Regular Analog Condition"), IF(E4 = "AO", "AO Condition", "Set Type")))), "Set Rack"))</f>
        <v>Set Rack</v>
      </c>
    </row>
    <row r="12" spans="2:10" x14ac:dyDescent="0.25">
      <c r="B12" t="s">
        <v>5</v>
      </c>
      <c r="C12" t="str">
        <f>(IF(ISBLANK(F4), (_xlfn.CONCAT("XIC ", B4, ":", C4, ":I.Data.", D4, " NOP")), IF(ISNUMBER(SEARCH("fbDigital", J4)), _xlfn.CONCAT("fbDigital ", F4, " ", B4, ":", C4, ":I.Data.", D4), _xlfn.CONCAT("XIC ", B4, ":", C4, ":I.Data.", D4, " OTE ", F4))))</f>
        <v>XIC Local:6:I.Data.0 OTE PL2_4227_235_PMP_022_YCI</v>
      </c>
    </row>
    <row r="14" spans="2:10" x14ac:dyDescent="0.25">
      <c r="B14" t="s">
        <v>6</v>
      </c>
      <c r="C14" t="str">
        <f>(IF(ISBLANK(F4), (_xlfn.CONCAT("XIC ",B4, ":", C4, ":O.Data.", D4, " OTE ", B4, ":", C4, ":O.Data.", D4)), _xlfn.CONCAT("XIC ", F4, " OTE ", B4, ":", C4, ":O.Data.", D4)))</f>
        <v>XIC PL2_4227_235_PMP_022_YCI OTE Local:6:O.Data.0</v>
      </c>
    </row>
    <row r="16" spans="2:10" x14ac:dyDescent="0.25">
      <c r="B16" t="s">
        <v>7</v>
      </c>
      <c r="C16" s="24" t="str">
        <f>(IF(ISBLANK(F4), ("NOP"), IF(ISNUMBER(SEARCH("fbAnalog", J4)), _xlfn.CONCAT("fbAnalog ", F4, " SysClock.o_NewDay ", B4, ":", C4, ":I.Ch[", D4, "].Fault 0 ", B4, ":", C4, ":I.Ch[", D4, "].Data"), _xlfn.CONCAT("MOVE ", B4, ":", C4, ":I.Ch[", D4, "].Data ", F4))))</f>
        <v>fbAnalog PL2_4227_235_PMP_022_YCI SysClock.o_NewDay Local:6:I.Ch[0].Fault 0 Local:6:I.Ch[0].Data</v>
      </c>
    </row>
    <row r="18" spans="2:33" x14ac:dyDescent="0.25">
      <c r="B18" t="s">
        <v>8</v>
      </c>
      <c r="C18" t="str">
        <f>(IF(ISBLANK(F4), "NOP", _xlfn.CONCAT("MOVE ", F4, " ", B4, ":", C4, ":O.Ch[", D4, "].Data")))</f>
        <v>MOVE PL2_4227_235_PMP_022_YCI Local:6:O.Ch[0].Data</v>
      </c>
    </row>
    <row r="20" spans="2:33" x14ac:dyDescent="0.25">
      <c r="B20" s="25" t="s">
        <v>1162</v>
      </c>
      <c r="C20" s="30" t="str">
        <f>IF(B6 = "P2P",
          "Real P2P Condition",
IF(B6 = "Dummy P2P",
          IF(E6 = "DI",
                    IF(J6 = "fbDigital",
                              _xlfn.CONCAT("fbDigital ", F6, " ", F6, ".i_Raw"),
                              _xlfn.CONCAT("XIC Always_False OTE ", F6)),
                    IF(E6 = "DO",
                              _xlfn.CONCAT("XIC ", F6, " OTE Communication_Command_"),
                              IF(E6 = "AI",
                                        IF(J6 = "fbAnalog",
                                                  _xlfn.CONCAT("fbAnalog ", F6, " SysClock.o_NewDay 0 0 0.0"),
                                                  _xlfn.CONCAT("MOVE 0.0 ", F6)),
                                        IF(E6 = "AO",
                                                  _xlfn.CONCAT("MOVE ", F6, " Communication_Setpoint"),
                                                  "Set Type")))),
IF(E6 = "DI",
          IF(ISBLANK(F6),
                    _xlfn.CONCAT("XIC ", B6, ":", C6, ":I.Data.", D6, " NOP"),
                    IF(ISNUMBER(SEARCH("fbDigital", J6)),
                              _xlfn.CONCAT("fbDigital ", F6, " ", B6, ":", C6, ":I.Data.", D6),
                              _xlfn.CONCAT("XIC ", B6, ":", C6, ":I.Data.", D6, " OTE ", F6))),
IF(E6 = "DO",
          IF(ISBLANK(F6),
                    _xlfn.CONCAT("XIC ",B6, ":", C6, ":O.Data.", D6, " OTE ", B6, ":", C6, ":O.Data.", D6),
                    _xlfn.CONCAT("XIC ", F6, " OTE ", B6, ":", C6, ":O.Data.", D6)),
IF(E6 = "AI",
          IF(ISBLANK(F6),
                    "NOP",
                    IF(ISNUMBER(SEARCH("fbAnalog", J6)),
                              _xlfn.CONCAT("fbAnalog ", F6, " SysClock.o_NewDay ", B6, ":", C6, ":I.Ch[", D6, "].Fault 0 ", B6, ":", C6, ":I.Ch[", D6, "].Data"),
                              _xlfn.CONCAT("MOVE ", B6, ":", C6, ":I.Ch[", D6, "].Data ", F6))),
IF(E6 = "AO",
          IF(ISBLANK(F6),
                    "NOP",
                    _xlfn.CONCAT("MOVE ", F6, " ", B6, ":", C6, ":O.Ch[", D6, "].Data")),
"Set Rack and Type"))))))</f>
        <v>Set Rack and Type</v>
      </c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0"/>
      <c r="AG20" s="30"/>
    </row>
    <row r="23" spans="2:33" x14ac:dyDescent="0.25">
      <c r="B23" t="s">
        <v>994</v>
      </c>
      <c r="C23" s="24" t="s">
        <v>1160</v>
      </c>
    </row>
    <row r="24" spans="2:33" x14ac:dyDescent="0.25">
      <c r="B24" t="s">
        <v>999</v>
      </c>
      <c r="C24" s="24" t="s">
        <v>1161</v>
      </c>
    </row>
    <row r="56" spans="3:3" x14ac:dyDescent="0.25">
      <c r="C56" t="str">
        <f>IF(B6 = "P2P",
          "Real P2P Condition",
IF(B6 = "Dummy P2P",
          IF(E6 = "DI",
                    IF(J6 = "fbDigital",
                              _xlfn.CONCAT("fbDigital ", F6, " ", F6, ".i_Raw"),
                              _xlfn.CONCAT("XIC Always_False OTE ", F6)),
                    IF(E6 = "DO",
                              _xlfn.CONCAT("XIC ", F6, " OTE Communication_Command_"),
                              IF(E6 = "AI",
                                        IF(J6 = "fbAnalog",
                                                  _xlfn.CONCAT("fbAnalog ", F6, " SysClock.o_NewDay 0 0 0.0"),
                                                  _xlfn.CONCAT("MOVE 0.0 ", F6)),
                                        IF(E6 = "AO",
                                                  _xlfn.CONCAT("MOVE ", F6, " Communication_Setpoint"),
                                                  "Set Type")))),
IF(E6 = "DI",
          IF(ISBLANK(F6),
                    _xlfn.CONCAT("XIC ", B6, ":", C6, ":I.Data.", D6, " NOP"),
                    IF(ISNUMBER(SEARCH("fbDigital", J6)),
                              _xlfn.CONCAT("fbDigital ", F6, " ", B6, ":", C6, ":I.Data.", D6),
                              _xlfn.CONCAT("XIC ", B6, ":", C6, ":I.Data.", D6, " OTE ", F6))),
IF(E6 = "DO",
          IF(ISBLANK(F6),
                    _xlfn.CONCAT("XIC ",B6, ":", C6, ":O.Data.", D6, " OTE ", B6, ":", C6, ":O.Data.", D6),
                    _xlfn.CONCAT("XIC ", F6, " OTE ", B6, ":", C6, ":O.Data.", D6)),
IF(E6 = "AI",
          IF(ISBLANK(F6),
                    "NOP",
                    IF(ISNUMBER(SEARCH("fbAnalog", J6)),
                              _xlfn.CONCAT("fbAnalog ", F6, " SysClock.o_NewDay ", B6, ":", C6, ":I.Ch[", D6, "].Fault 0 ", B6, ":", C6, ":I.Ch[", D6, "].Data"),
                              _xlfn.CONCAT("MOVE ", B6, ":", C6, ":I.Ch[", D6, "].Data ", F6))),
IF(E6 = "AO",
          IF(ISBLANK(F6),
                    "NOP",
                    _xlfn.CONCAT("MOVE ", F6, " ", B6, ":", C6, ":O.Ch[", D6, "].Data")),
"Set Rack and Type"))))))</f>
        <v>Set Rack and Type</v>
      </c>
    </row>
  </sheetData>
  <mergeCells count="1">
    <mergeCell ref="C20:AG20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Chassis</vt:lpstr>
      <vt:lpstr>IOMap</vt:lpstr>
      <vt:lpstr>Tag</vt:lpstr>
      <vt:lpstr>Controller</vt:lpstr>
      <vt:lpstr>ModStat</vt:lpstr>
      <vt:lpstr>ChStat</vt:lpstr>
      <vt:lpstr>IORaw</vt:lpstr>
      <vt:lpstr>AOI</vt:lpstr>
      <vt:lpstr>Auto</vt:lpstr>
      <vt:lpstr>Formula Backups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Haire, Jerry W.</dc:creator>
  <cp:lastModifiedBy>Lynk, Charles (Chase)</cp:lastModifiedBy>
  <dcterms:created xsi:type="dcterms:W3CDTF">2022-04-26T00:05:16Z</dcterms:created>
  <dcterms:modified xsi:type="dcterms:W3CDTF">2025-07-01T21:24:46Z</dcterms:modified>
</cp:coreProperties>
</file>